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defaultThemeVersion="166925"/>
  <mc:AlternateContent xmlns:mc="http://schemas.openxmlformats.org/markup-compatibility/2006">
    <mc:Choice Requires="x15">
      <x15ac:absPath xmlns:x15ac="http://schemas.microsoft.com/office/spreadsheetml/2010/11/ac" url="\\staff.ad.griffith.edu.au\ud\fr\s5039917\Desktop\_PhD\paper\_burn-to-claim_cross-Blockchain_protocol\"/>
    </mc:Choice>
  </mc:AlternateContent>
  <xr:revisionPtr revIDLastSave="0" documentId="13_ncr:1_{C08E4A65-68AB-4735-9A33-DEB51F0F20CC}" xr6:coauthVersionLast="45" xr6:coauthVersionMax="45" xr10:uidLastSave="{00000000-0000-0000-0000-000000000000}"/>
  <bookViews>
    <workbookView xWindow="-108" yWindow="-108" windowWidth="23256" windowHeight="12576" activeTab="1" xr2:uid="{00000000-000D-0000-FFFF-FFFF00000000}"/>
  </bookViews>
  <sheets>
    <sheet name="ropsten to rinkeby" sheetId="1" r:id="rId1"/>
    <sheet name="rinkeby to ropsten" sheetId="2" r:id="rId2"/>
  </sheets>
  <definedNames>
    <definedName name="_xlnm._FilterDatabase" localSheetId="1" hidden="1">'rinkeby to ropsten'!$A$2:$R$252</definedName>
    <definedName name="_xlnm._FilterDatabase" localSheetId="0" hidden="1">'ropsten to rinkeby'!$A$2:$T$252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4" i="2" l="1"/>
  <c r="I4" i="1" l="1"/>
  <c r="H4" i="2" l="1"/>
  <c r="H3" i="2"/>
  <c r="H6" i="2"/>
  <c r="M15" i="1" l="1"/>
  <c r="M14" i="1"/>
  <c r="M4" i="1"/>
  <c r="M3" i="1"/>
  <c r="M3" i="2" l="1"/>
  <c r="J4" i="2" l="1"/>
  <c r="K4" i="2" s="1"/>
  <c r="J5" i="2"/>
  <c r="K5" i="2" s="1"/>
  <c r="J6" i="2"/>
  <c r="K6" i="2" s="1"/>
  <c r="J7" i="2"/>
  <c r="K7" i="2" s="1"/>
  <c r="J3" i="2"/>
  <c r="K3" i="2" s="1"/>
  <c r="K4" i="1"/>
  <c r="L4" i="1" s="1"/>
  <c r="K5" i="1"/>
  <c r="L5" i="1" s="1"/>
  <c r="K6" i="1"/>
  <c r="L6" i="1" s="1"/>
  <c r="K7" i="1"/>
  <c r="L7" i="1" s="1"/>
  <c r="K3" i="1"/>
  <c r="L3" i="1" s="1"/>
  <c r="T4" i="1" l="1"/>
  <c r="T5" i="1"/>
  <c r="T7" i="1"/>
  <c r="T8" i="1"/>
  <c r="T9" i="1"/>
  <c r="T10" i="1"/>
  <c r="T12" i="1"/>
  <c r="T13" i="1"/>
  <c r="T14" i="1"/>
  <c r="T15" i="1"/>
  <c r="T17" i="1"/>
  <c r="T18" i="1"/>
  <c r="T19" i="1"/>
  <c r="T20" i="1"/>
  <c r="T22" i="1"/>
  <c r="T23" i="1"/>
  <c r="T24" i="1"/>
  <c r="T25" i="1"/>
  <c r="T27" i="1"/>
  <c r="T28" i="1"/>
  <c r="T29" i="1"/>
  <c r="T30" i="1"/>
  <c r="T32" i="1"/>
  <c r="T33" i="1"/>
  <c r="T34" i="1"/>
  <c r="T35" i="1"/>
  <c r="T37" i="1"/>
  <c r="T38" i="1"/>
  <c r="T39" i="1"/>
  <c r="T40" i="1"/>
  <c r="T42" i="1"/>
  <c r="T43" i="1"/>
  <c r="T44" i="1"/>
  <c r="T45" i="1"/>
  <c r="T47" i="1"/>
  <c r="T48" i="1"/>
  <c r="T49" i="1"/>
  <c r="T50" i="1"/>
  <c r="T52" i="1"/>
  <c r="T53" i="1"/>
  <c r="T54" i="1"/>
  <c r="T55" i="1"/>
  <c r="T57" i="1"/>
  <c r="T58" i="1"/>
  <c r="T59" i="1"/>
  <c r="T60" i="1"/>
  <c r="T62" i="1"/>
  <c r="T63" i="1"/>
  <c r="T64" i="1"/>
  <c r="T65" i="1"/>
  <c r="T67" i="1"/>
  <c r="T68" i="1"/>
  <c r="T69" i="1"/>
  <c r="T70" i="1"/>
  <c r="T72" i="1"/>
  <c r="T73" i="1"/>
  <c r="T74" i="1"/>
  <c r="T75" i="1"/>
  <c r="T77" i="1"/>
  <c r="T78" i="1"/>
  <c r="T79" i="1"/>
  <c r="T80" i="1"/>
  <c r="T82" i="1"/>
  <c r="T83" i="1"/>
  <c r="T84" i="1"/>
  <c r="T85" i="1"/>
  <c r="T87" i="1"/>
  <c r="T88" i="1"/>
  <c r="T89" i="1"/>
  <c r="T90" i="1"/>
  <c r="T92" i="1"/>
  <c r="T93" i="1"/>
  <c r="T94" i="1"/>
  <c r="T95" i="1"/>
  <c r="T97" i="1"/>
  <c r="T98" i="1"/>
  <c r="T99" i="1"/>
  <c r="T100" i="1"/>
  <c r="T102" i="1"/>
  <c r="T103" i="1"/>
  <c r="T104" i="1"/>
  <c r="T105" i="1"/>
  <c r="T107" i="1"/>
  <c r="T108" i="1"/>
  <c r="T109" i="1"/>
  <c r="T110" i="1"/>
  <c r="T112" i="1"/>
  <c r="T113" i="1"/>
  <c r="T114" i="1"/>
  <c r="T115" i="1"/>
  <c r="T117" i="1"/>
  <c r="T118" i="1"/>
  <c r="T119" i="1"/>
  <c r="T120" i="1"/>
  <c r="T122" i="1"/>
  <c r="T123" i="1"/>
  <c r="T124" i="1"/>
  <c r="T125" i="1"/>
  <c r="T127" i="1"/>
  <c r="T128" i="1"/>
  <c r="T129" i="1"/>
  <c r="T130" i="1"/>
  <c r="T132" i="1"/>
  <c r="T133" i="1"/>
  <c r="T134" i="1"/>
  <c r="T135" i="1"/>
  <c r="T137" i="1"/>
  <c r="T138" i="1"/>
  <c r="T139" i="1"/>
  <c r="T140" i="1"/>
  <c r="T142" i="1"/>
  <c r="T143" i="1"/>
  <c r="T144" i="1"/>
  <c r="T145" i="1"/>
  <c r="T147" i="1"/>
  <c r="T148" i="1"/>
  <c r="T149" i="1"/>
  <c r="T150" i="1"/>
  <c r="T152" i="1"/>
  <c r="T153" i="1"/>
  <c r="T154" i="1"/>
  <c r="T155" i="1"/>
  <c r="T157" i="1"/>
  <c r="T158" i="1"/>
  <c r="T159" i="1"/>
  <c r="T160" i="1"/>
  <c r="T162" i="1"/>
  <c r="T163" i="1"/>
  <c r="T164" i="1"/>
  <c r="T165" i="1"/>
  <c r="T167" i="1"/>
  <c r="T168" i="1"/>
  <c r="T169" i="1"/>
  <c r="T170" i="1"/>
  <c r="T172" i="1"/>
  <c r="T173" i="1"/>
  <c r="T174" i="1"/>
  <c r="T175" i="1"/>
  <c r="T177" i="1"/>
  <c r="T178" i="1"/>
  <c r="T179" i="1"/>
  <c r="T180" i="1"/>
  <c r="T182" i="1"/>
  <c r="T183" i="1"/>
  <c r="T184" i="1"/>
  <c r="T185" i="1"/>
  <c r="T187" i="1"/>
  <c r="T188" i="1"/>
  <c r="T189" i="1"/>
  <c r="T190" i="1"/>
  <c r="T192" i="1"/>
  <c r="T193" i="1"/>
  <c r="T194" i="1"/>
  <c r="T195" i="1"/>
  <c r="T197" i="1"/>
  <c r="T198" i="1"/>
  <c r="T199" i="1"/>
  <c r="T200" i="1"/>
  <c r="T202" i="1"/>
  <c r="T203" i="1"/>
  <c r="T204" i="1"/>
  <c r="T205" i="1"/>
  <c r="T207" i="1"/>
  <c r="T208" i="1"/>
  <c r="T209" i="1"/>
  <c r="T210" i="1"/>
  <c r="T212" i="1"/>
  <c r="T213" i="1"/>
  <c r="T214" i="1"/>
  <c r="T215" i="1"/>
  <c r="T217" i="1"/>
  <c r="T218" i="1"/>
  <c r="T219" i="1"/>
  <c r="T220" i="1"/>
  <c r="T222" i="1"/>
  <c r="T223" i="1"/>
  <c r="T224" i="1"/>
  <c r="T225" i="1"/>
  <c r="T227" i="1"/>
  <c r="T228" i="1"/>
  <c r="T229" i="1"/>
  <c r="T230" i="1"/>
  <c r="T232" i="1"/>
  <c r="T233" i="1"/>
  <c r="T234" i="1"/>
  <c r="T235" i="1"/>
  <c r="T237" i="1"/>
  <c r="T238" i="1"/>
  <c r="T239" i="1"/>
  <c r="T240" i="1"/>
  <c r="T242" i="1"/>
  <c r="T243" i="1"/>
  <c r="T244" i="1"/>
  <c r="T245" i="1"/>
  <c r="T247" i="1"/>
  <c r="T248" i="1"/>
  <c r="T249" i="1"/>
  <c r="T250" i="1"/>
  <c r="T252" i="1"/>
  <c r="T3" i="1"/>
  <c r="S5" i="1"/>
  <c r="S6" i="1"/>
  <c r="S7" i="1"/>
  <c r="S8" i="1"/>
  <c r="S10" i="1"/>
  <c r="S11" i="1"/>
  <c r="S12" i="1"/>
  <c r="S13" i="1"/>
  <c r="S15" i="1"/>
  <c r="S16" i="1"/>
  <c r="S17" i="1"/>
  <c r="S18" i="1"/>
  <c r="S20" i="1"/>
  <c r="S21" i="1"/>
  <c r="S22" i="1"/>
  <c r="S23" i="1"/>
  <c r="S25" i="1"/>
  <c r="S26" i="1"/>
  <c r="S27" i="1"/>
  <c r="S28" i="1"/>
  <c r="S30" i="1"/>
  <c r="S31" i="1"/>
  <c r="S32" i="1"/>
  <c r="S33" i="1"/>
  <c r="S35" i="1"/>
  <c r="S36" i="1"/>
  <c r="S37" i="1"/>
  <c r="S38" i="1"/>
  <c r="S40" i="1"/>
  <c r="S41" i="1"/>
  <c r="S42" i="1"/>
  <c r="S43" i="1"/>
  <c r="S45" i="1"/>
  <c r="S46" i="1"/>
  <c r="S47" i="1"/>
  <c r="S48" i="1"/>
  <c r="S50" i="1"/>
  <c r="S51" i="1"/>
  <c r="S52" i="1"/>
  <c r="S53" i="1"/>
  <c r="S55" i="1"/>
  <c r="S56" i="1"/>
  <c r="S57" i="1"/>
  <c r="S58" i="1"/>
  <c r="S60" i="1"/>
  <c r="S61" i="1"/>
  <c r="S62" i="1"/>
  <c r="S63" i="1"/>
  <c r="S65" i="1"/>
  <c r="S66" i="1"/>
  <c r="S67" i="1"/>
  <c r="S68" i="1"/>
  <c r="S70" i="1"/>
  <c r="S71" i="1"/>
  <c r="S72" i="1"/>
  <c r="S73" i="1"/>
  <c r="S75" i="1"/>
  <c r="S76" i="1"/>
  <c r="S77" i="1"/>
  <c r="S78" i="1"/>
  <c r="S80" i="1"/>
  <c r="S81" i="1"/>
  <c r="S82" i="1"/>
  <c r="S83" i="1"/>
  <c r="S85" i="1"/>
  <c r="S86" i="1"/>
  <c r="S87" i="1"/>
  <c r="S88" i="1"/>
  <c r="S90" i="1"/>
  <c r="S91" i="1"/>
  <c r="S92" i="1"/>
  <c r="S93" i="1"/>
  <c r="S95" i="1"/>
  <c r="S96" i="1"/>
  <c r="S97" i="1"/>
  <c r="S98" i="1"/>
  <c r="S100" i="1"/>
  <c r="S101" i="1"/>
  <c r="S102" i="1"/>
  <c r="S103" i="1"/>
  <c r="S105" i="1"/>
  <c r="S106" i="1"/>
  <c r="S107" i="1"/>
  <c r="S108" i="1"/>
  <c r="S110" i="1"/>
  <c r="S111" i="1"/>
  <c r="S112" i="1"/>
  <c r="S113" i="1"/>
  <c r="S115" i="1"/>
  <c r="S116" i="1"/>
  <c r="S117" i="1"/>
  <c r="S118" i="1"/>
  <c r="S120" i="1"/>
  <c r="S121" i="1"/>
  <c r="S122" i="1"/>
  <c r="S123" i="1"/>
  <c r="S125" i="1"/>
  <c r="S126" i="1"/>
  <c r="S127" i="1"/>
  <c r="S128" i="1"/>
  <c r="S130" i="1"/>
  <c r="S131" i="1"/>
  <c r="S132" i="1"/>
  <c r="S133" i="1"/>
  <c r="S135" i="1"/>
  <c r="S136" i="1"/>
  <c r="S137" i="1"/>
  <c r="S138" i="1"/>
  <c r="S140" i="1"/>
  <c r="S141" i="1"/>
  <c r="S142" i="1"/>
  <c r="S143" i="1"/>
  <c r="S145" i="1"/>
  <c r="S146" i="1"/>
  <c r="S147" i="1"/>
  <c r="S148" i="1"/>
  <c r="S150" i="1"/>
  <c r="S151" i="1"/>
  <c r="S152" i="1"/>
  <c r="S153" i="1"/>
  <c r="S155" i="1"/>
  <c r="S156" i="1"/>
  <c r="S157" i="1"/>
  <c r="S158" i="1"/>
  <c r="S160" i="1"/>
  <c r="S161" i="1"/>
  <c r="S162" i="1"/>
  <c r="S163" i="1"/>
  <c r="S165" i="1"/>
  <c r="S166" i="1"/>
  <c r="S167" i="1"/>
  <c r="S168" i="1"/>
  <c r="S170" i="1"/>
  <c r="S171" i="1"/>
  <c r="S172" i="1"/>
  <c r="S173" i="1"/>
  <c r="S175" i="1"/>
  <c r="S176" i="1"/>
  <c r="S177" i="1"/>
  <c r="S178" i="1"/>
  <c r="S180" i="1"/>
  <c r="S181" i="1"/>
  <c r="S182" i="1"/>
  <c r="S183" i="1"/>
  <c r="S185" i="1"/>
  <c r="S186" i="1"/>
  <c r="S187" i="1"/>
  <c r="S188" i="1"/>
  <c r="S190" i="1"/>
  <c r="S191" i="1"/>
  <c r="S192" i="1"/>
  <c r="S193" i="1"/>
  <c r="S195" i="1"/>
  <c r="S196" i="1"/>
  <c r="S197" i="1"/>
  <c r="S198" i="1"/>
  <c r="S200" i="1"/>
  <c r="S201" i="1"/>
  <c r="S202" i="1"/>
  <c r="S203" i="1"/>
  <c r="S205" i="1"/>
  <c r="S206" i="1"/>
  <c r="S207" i="1"/>
  <c r="S208" i="1"/>
  <c r="S210" i="1"/>
  <c r="S211" i="1"/>
  <c r="S212" i="1"/>
  <c r="S213" i="1"/>
  <c r="S215" i="1"/>
  <c r="S216" i="1"/>
  <c r="S217" i="1"/>
  <c r="S218" i="1"/>
  <c r="S220" i="1"/>
  <c r="S221" i="1"/>
  <c r="S222" i="1"/>
  <c r="S223" i="1"/>
  <c r="S225" i="1"/>
  <c r="S226" i="1"/>
  <c r="S227" i="1"/>
  <c r="S228" i="1"/>
  <c r="S230" i="1"/>
  <c r="S231" i="1"/>
  <c r="S232" i="1"/>
  <c r="S233" i="1"/>
  <c r="S235" i="1"/>
  <c r="S236" i="1"/>
  <c r="S237" i="1"/>
  <c r="S238" i="1"/>
  <c r="S240" i="1"/>
  <c r="S241" i="1"/>
  <c r="S242" i="1"/>
  <c r="S243" i="1"/>
  <c r="S245" i="1"/>
  <c r="S246" i="1"/>
  <c r="S247" i="1"/>
  <c r="S248" i="1"/>
  <c r="S250" i="1"/>
  <c r="S251" i="1"/>
  <c r="S252" i="1"/>
  <c r="S3" i="1"/>
  <c r="E3" i="1" l="1"/>
  <c r="M252" i="2" l="1"/>
  <c r="M251" i="2"/>
  <c r="M250" i="2"/>
  <c r="M249" i="2"/>
  <c r="M248" i="2"/>
  <c r="M247" i="2"/>
  <c r="M246" i="2"/>
  <c r="M245" i="2"/>
  <c r="M244" i="2"/>
  <c r="M243" i="2"/>
  <c r="M242" i="2"/>
  <c r="M241" i="2"/>
  <c r="M240" i="2"/>
  <c r="M239" i="2"/>
  <c r="M238" i="2"/>
  <c r="M237" i="2"/>
  <c r="M236" i="2"/>
  <c r="M235" i="2"/>
  <c r="M234" i="2"/>
  <c r="M233" i="2"/>
  <c r="M232" i="2"/>
  <c r="M231" i="2"/>
  <c r="M230" i="2"/>
  <c r="M229" i="2"/>
  <c r="M228" i="2"/>
  <c r="M227" i="2"/>
  <c r="M226" i="2"/>
  <c r="M225" i="2"/>
  <c r="M224" i="2"/>
  <c r="M223" i="2"/>
  <c r="M222" i="2"/>
  <c r="M221" i="2"/>
  <c r="M220" i="2"/>
  <c r="M219" i="2"/>
  <c r="M218" i="2"/>
  <c r="M217" i="2"/>
  <c r="M216" i="2"/>
  <c r="M215" i="2"/>
  <c r="M214" i="2"/>
  <c r="M213" i="2"/>
  <c r="M212" i="2"/>
  <c r="M211" i="2"/>
  <c r="M210" i="2"/>
  <c r="M209" i="2"/>
  <c r="M208" i="2"/>
  <c r="M207" i="2"/>
  <c r="M206" i="2"/>
  <c r="M205" i="2"/>
  <c r="M204" i="2"/>
  <c r="M203" i="2"/>
  <c r="M202" i="2"/>
  <c r="M201" i="2"/>
  <c r="M200" i="2"/>
  <c r="M199" i="2"/>
  <c r="M198" i="2"/>
  <c r="M197" i="2"/>
  <c r="M196" i="2"/>
  <c r="M195" i="2"/>
  <c r="M194" i="2"/>
  <c r="M193" i="2"/>
  <c r="M192" i="2"/>
  <c r="M191" i="2"/>
  <c r="M190" i="2"/>
  <c r="M189" i="2"/>
  <c r="M188" i="2"/>
  <c r="M187" i="2"/>
  <c r="M186" i="2"/>
  <c r="M185" i="2"/>
  <c r="M184" i="2"/>
  <c r="M183" i="2"/>
  <c r="M182" i="2"/>
  <c r="M181" i="2"/>
  <c r="M180" i="2"/>
  <c r="M179" i="2"/>
  <c r="M178" i="2"/>
  <c r="M177" i="2"/>
  <c r="M176" i="2"/>
  <c r="M175" i="2"/>
  <c r="M174" i="2"/>
  <c r="M173" i="2"/>
  <c r="M172" i="2"/>
  <c r="M171" i="2"/>
  <c r="M170" i="2"/>
  <c r="M169" i="2"/>
  <c r="M168" i="2"/>
  <c r="M167" i="2"/>
  <c r="M166" i="2"/>
  <c r="M165" i="2"/>
  <c r="M164" i="2"/>
  <c r="M163" i="2"/>
  <c r="M162" i="2"/>
  <c r="M161" i="2"/>
  <c r="M160" i="2"/>
  <c r="M159" i="2"/>
  <c r="M158" i="2"/>
  <c r="M157" i="2"/>
  <c r="M156" i="2"/>
  <c r="M155" i="2"/>
  <c r="M154" i="2"/>
  <c r="M153" i="2"/>
  <c r="M152" i="2"/>
  <c r="M151" i="2"/>
  <c r="M150" i="2"/>
  <c r="M149" i="2"/>
  <c r="M148" i="2"/>
  <c r="M147" i="2"/>
  <c r="M146" i="2"/>
  <c r="M145" i="2"/>
  <c r="M144" i="2"/>
  <c r="M143" i="2"/>
  <c r="M142" i="2"/>
  <c r="M141" i="2"/>
  <c r="M140" i="2"/>
  <c r="M139" i="2"/>
  <c r="M138" i="2"/>
  <c r="M137" i="2"/>
  <c r="M136" i="2"/>
  <c r="M135" i="2"/>
  <c r="M134" i="2"/>
  <c r="M133" i="2"/>
  <c r="M132" i="2"/>
  <c r="M131" i="2"/>
  <c r="M130" i="2"/>
  <c r="M129" i="2"/>
  <c r="M128" i="2"/>
  <c r="M127" i="2"/>
  <c r="M126" i="2"/>
  <c r="M125" i="2"/>
  <c r="M124" i="2"/>
  <c r="M123" i="2"/>
  <c r="M122" i="2"/>
  <c r="M121" i="2"/>
  <c r="M120" i="2"/>
  <c r="M119" i="2"/>
  <c r="M118" i="2"/>
  <c r="M117" i="2"/>
  <c r="M116" i="2"/>
  <c r="M115" i="2"/>
  <c r="M114" i="2"/>
  <c r="M113" i="2"/>
  <c r="M112" i="2"/>
  <c r="M111" i="2"/>
  <c r="M110" i="2"/>
  <c r="M109" i="2"/>
  <c r="M108" i="2"/>
  <c r="M107" i="2"/>
  <c r="M106" i="2"/>
  <c r="M105" i="2"/>
  <c r="M104" i="2"/>
  <c r="M103" i="2"/>
  <c r="M102" i="2"/>
  <c r="M101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4" i="2"/>
  <c r="M5" i="1"/>
  <c r="M6" i="1"/>
  <c r="M7" i="1"/>
  <c r="M8" i="1"/>
  <c r="M9" i="1"/>
  <c r="M10" i="1"/>
  <c r="M11" i="1"/>
  <c r="M12" i="1"/>
  <c r="M13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N3" i="1"/>
  <c r="E6" i="2"/>
  <c r="E3" i="2"/>
  <c r="E252" i="2"/>
  <c r="E251" i="2"/>
  <c r="E250" i="2"/>
  <c r="E249" i="2"/>
  <c r="E248" i="2"/>
  <c r="E247" i="2"/>
  <c r="E246" i="2"/>
  <c r="E245" i="2"/>
  <c r="E244" i="2"/>
  <c r="E243" i="2"/>
  <c r="E242" i="2"/>
  <c r="E241" i="2"/>
  <c r="E240" i="2"/>
  <c r="E239" i="2"/>
  <c r="E238" i="2"/>
  <c r="E237" i="2"/>
  <c r="E236" i="2"/>
  <c r="E235" i="2"/>
  <c r="E234" i="2"/>
  <c r="E233" i="2"/>
  <c r="E232" i="2"/>
  <c r="E231" i="2"/>
  <c r="E230" i="2"/>
  <c r="E229" i="2"/>
  <c r="E228" i="2"/>
  <c r="E227" i="2"/>
  <c r="E226" i="2"/>
  <c r="E225" i="2"/>
  <c r="E224" i="2"/>
  <c r="E223" i="2"/>
  <c r="E222" i="2"/>
  <c r="E221" i="2"/>
  <c r="E220" i="2"/>
  <c r="E219" i="2"/>
  <c r="E218" i="2"/>
  <c r="E217" i="2"/>
  <c r="E216" i="2"/>
  <c r="E215" i="2"/>
  <c r="E214" i="2"/>
  <c r="E213" i="2"/>
  <c r="E212" i="2"/>
  <c r="E211" i="2"/>
  <c r="E210" i="2"/>
  <c r="E209" i="2"/>
  <c r="E208" i="2"/>
  <c r="E207" i="2"/>
  <c r="E206" i="2"/>
  <c r="E205" i="2"/>
  <c r="E204" i="2"/>
  <c r="E203" i="2"/>
  <c r="E202" i="2"/>
  <c r="E201" i="2"/>
  <c r="E200" i="2"/>
  <c r="E199" i="2"/>
  <c r="E198" i="2"/>
  <c r="E197" i="2"/>
  <c r="E196" i="2"/>
  <c r="E195" i="2"/>
  <c r="E194" i="2"/>
  <c r="E193" i="2"/>
  <c r="E192" i="2"/>
  <c r="E191" i="2"/>
  <c r="E190" i="2"/>
  <c r="E189" i="2"/>
  <c r="E188" i="2"/>
  <c r="E187" i="2"/>
  <c r="E186" i="2"/>
  <c r="E185" i="2"/>
  <c r="E184" i="2"/>
  <c r="E183" i="2"/>
  <c r="E182" i="2"/>
  <c r="E181" i="2"/>
  <c r="E180" i="2"/>
  <c r="E179" i="2"/>
  <c r="E178" i="2"/>
  <c r="E177" i="2"/>
  <c r="E176" i="2"/>
  <c r="E175" i="2"/>
  <c r="E174" i="2"/>
  <c r="E173" i="2"/>
  <c r="E172" i="2"/>
  <c r="E171" i="2"/>
  <c r="E170" i="2"/>
  <c r="E169" i="2"/>
  <c r="E168" i="2"/>
  <c r="E167" i="2"/>
  <c r="E166" i="2"/>
  <c r="E165" i="2"/>
  <c r="E164" i="2"/>
  <c r="E163" i="2"/>
  <c r="E162" i="2"/>
  <c r="E161" i="2"/>
  <c r="E160" i="2"/>
  <c r="E159" i="2"/>
  <c r="E158" i="2"/>
  <c r="E157" i="2"/>
  <c r="E156" i="2"/>
  <c r="E155" i="2"/>
  <c r="E154" i="2"/>
  <c r="E153" i="2"/>
  <c r="E152" i="2"/>
  <c r="E151" i="2"/>
  <c r="E150" i="2"/>
  <c r="E149" i="2"/>
  <c r="E148" i="2"/>
  <c r="E147" i="2"/>
  <c r="E146" i="2"/>
  <c r="E145" i="2"/>
  <c r="E144" i="2"/>
  <c r="E143" i="2"/>
  <c r="E142" i="2"/>
  <c r="E141" i="2"/>
  <c r="E140" i="2"/>
  <c r="E139" i="2"/>
  <c r="E138" i="2"/>
  <c r="E137" i="2"/>
  <c r="E136" i="2"/>
  <c r="E135" i="2"/>
  <c r="E134" i="2"/>
  <c r="E133" i="2"/>
  <c r="E132" i="2"/>
  <c r="E131" i="2"/>
  <c r="E130" i="2"/>
  <c r="E129" i="2"/>
  <c r="E128" i="2"/>
  <c r="E127" i="2"/>
  <c r="E126" i="2"/>
  <c r="E125" i="2"/>
  <c r="E124" i="2"/>
  <c r="E123" i="2"/>
  <c r="E122" i="2"/>
  <c r="E121" i="2"/>
  <c r="E120" i="2"/>
  <c r="E119" i="2"/>
  <c r="E118" i="2"/>
  <c r="E117" i="2"/>
  <c r="E116" i="2"/>
  <c r="E115" i="2"/>
  <c r="E114" i="2"/>
  <c r="E113" i="2"/>
  <c r="E112" i="2"/>
  <c r="E111" i="2"/>
  <c r="E110" i="2"/>
  <c r="E109" i="2"/>
  <c r="E108" i="2"/>
  <c r="E107" i="2"/>
  <c r="E106" i="2"/>
  <c r="E105" i="2"/>
  <c r="E104" i="2"/>
  <c r="E103" i="2"/>
  <c r="E102" i="2"/>
  <c r="E101" i="2"/>
  <c r="E100" i="2"/>
  <c r="E99" i="2"/>
  <c r="E98" i="2"/>
  <c r="E97" i="2"/>
  <c r="E96" i="2"/>
  <c r="E95" i="2"/>
  <c r="E94" i="2"/>
  <c r="E93" i="2"/>
  <c r="E92" i="2"/>
  <c r="E91" i="2"/>
  <c r="E90" i="2"/>
  <c r="E89" i="2"/>
  <c r="E88" i="2"/>
  <c r="E87" i="2"/>
  <c r="E86" i="2"/>
  <c r="E85" i="2"/>
  <c r="E84" i="2"/>
  <c r="E83" i="2"/>
  <c r="E82" i="2"/>
  <c r="E81" i="2"/>
  <c r="E80" i="2"/>
  <c r="E79" i="2"/>
  <c r="E78" i="2"/>
  <c r="E77" i="2"/>
  <c r="E76" i="2"/>
  <c r="E75" i="2"/>
  <c r="E74" i="2"/>
  <c r="E73" i="2"/>
  <c r="E72" i="2"/>
  <c r="E71" i="2"/>
  <c r="E70" i="2"/>
  <c r="E69" i="2"/>
  <c r="E68" i="2"/>
  <c r="E67" i="2"/>
  <c r="E66" i="2"/>
  <c r="E65" i="2"/>
  <c r="E64" i="2"/>
  <c r="E63" i="2"/>
  <c r="E62" i="2"/>
  <c r="E61" i="2"/>
  <c r="E60" i="2"/>
  <c r="E59" i="2"/>
  <c r="E58" i="2"/>
  <c r="E57" i="2"/>
  <c r="E56" i="2"/>
  <c r="E55" i="2"/>
  <c r="E54" i="2"/>
  <c r="E53" i="2"/>
  <c r="E52" i="2"/>
  <c r="E51" i="2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5" i="2"/>
  <c r="E4" i="2"/>
  <c r="E8" i="1"/>
  <c r="E9" i="1"/>
  <c r="S9" i="1" s="1"/>
  <c r="E10" i="1"/>
  <c r="E11" i="1"/>
  <c r="T11" i="1" s="1"/>
  <c r="E12" i="1"/>
  <c r="E13" i="1"/>
  <c r="E14" i="1"/>
  <c r="S14" i="1" s="1"/>
  <c r="E15" i="1"/>
  <c r="E16" i="1"/>
  <c r="T16" i="1" s="1"/>
  <c r="E17" i="1"/>
  <c r="E18" i="1"/>
  <c r="E19" i="1"/>
  <c r="S19" i="1" s="1"/>
  <c r="E20" i="1"/>
  <c r="E21" i="1"/>
  <c r="T21" i="1" s="1"/>
  <c r="E22" i="1"/>
  <c r="E23" i="1"/>
  <c r="E24" i="1"/>
  <c r="S24" i="1" s="1"/>
  <c r="E25" i="1"/>
  <c r="E26" i="1"/>
  <c r="T26" i="1" s="1"/>
  <c r="E27" i="1"/>
  <c r="E28" i="1"/>
  <c r="E29" i="1"/>
  <c r="S29" i="1" s="1"/>
  <c r="E30" i="1"/>
  <c r="E31" i="1"/>
  <c r="T31" i="1" s="1"/>
  <c r="E32" i="1"/>
  <c r="E33" i="1"/>
  <c r="E34" i="1"/>
  <c r="S34" i="1" s="1"/>
  <c r="E35" i="1"/>
  <c r="E36" i="1"/>
  <c r="T36" i="1" s="1"/>
  <c r="E37" i="1"/>
  <c r="E38" i="1"/>
  <c r="E39" i="1"/>
  <c r="S39" i="1" s="1"/>
  <c r="E40" i="1"/>
  <c r="E41" i="1"/>
  <c r="T41" i="1" s="1"/>
  <c r="E42" i="1"/>
  <c r="E43" i="1"/>
  <c r="E44" i="1"/>
  <c r="S44" i="1" s="1"/>
  <c r="E45" i="1"/>
  <c r="E46" i="1"/>
  <c r="T46" i="1" s="1"/>
  <c r="E47" i="1"/>
  <c r="E48" i="1"/>
  <c r="E49" i="1"/>
  <c r="S49" i="1" s="1"/>
  <c r="E50" i="1"/>
  <c r="E51" i="1"/>
  <c r="T51" i="1" s="1"/>
  <c r="E52" i="1"/>
  <c r="E53" i="1"/>
  <c r="E54" i="1"/>
  <c r="S54" i="1" s="1"/>
  <c r="E55" i="1"/>
  <c r="E56" i="1"/>
  <c r="T56" i="1" s="1"/>
  <c r="E57" i="1"/>
  <c r="E58" i="1"/>
  <c r="E59" i="1"/>
  <c r="S59" i="1" s="1"/>
  <c r="E60" i="1"/>
  <c r="E61" i="1"/>
  <c r="T61" i="1" s="1"/>
  <c r="E62" i="1"/>
  <c r="E63" i="1"/>
  <c r="E64" i="1"/>
  <c r="S64" i="1" s="1"/>
  <c r="E65" i="1"/>
  <c r="E66" i="1"/>
  <c r="T66" i="1" s="1"/>
  <c r="E67" i="1"/>
  <c r="E68" i="1"/>
  <c r="E69" i="1"/>
  <c r="S69" i="1" s="1"/>
  <c r="E70" i="1"/>
  <c r="E71" i="1"/>
  <c r="T71" i="1" s="1"/>
  <c r="E72" i="1"/>
  <c r="E73" i="1"/>
  <c r="E74" i="1"/>
  <c r="S74" i="1" s="1"/>
  <c r="E75" i="1"/>
  <c r="E76" i="1"/>
  <c r="T76" i="1" s="1"/>
  <c r="E77" i="1"/>
  <c r="E78" i="1"/>
  <c r="E79" i="1"/>
  <c r="S79" i="1" s="1"/>
  <c r="E80" i="1"/>
  <c r="E81" i="1"/>
  <c r="T81" i="1" s="1"/>
  <c r="E82" i="1"/>
  <c r="E83" i="1"/>
  <c r="E84" i="1"/>
  <c r="S84" i="1" s="1"/>
  <c r="E85" i="1"/>
  <c r="E86" i="1"/>
  <c r="T86" i="1" s="1"/>
  <c r="E87" i="1"/>
  <c r="E88" i="1"/>
  <c r="E89" i="1"/>
  <c r="S89" i="1" s="1"/>
  <c r="E90" i="1"/>
  <c r="E91" i="1"/>
  <c r="T91" i="1" s="1"/>
  <c r="E92" i="1"/>
  <c r="E93" i="1"/>
  <c r="E94" i="1"/>
  <c r="S94" i="1" s="1"/>
  <c r="E95" i="1"/>
  <c r="E96" i="1"/>
  <c r="T96" i="1" s="1"/>
  <c r="E97" i="1"/>
  <c r="E98" i="1"/>
  <c r="E99" i="1"/>
  <c r="S99" i="1" s="1"/>
  <c r="E100" i="1"/>
  <c r="E101" i="1"/>
  <c r="T101" i="1" s="1"/>
  <c r="E102" i="1"/>
  <c r="E103" i="1"/>
  <c r="E104" i="1"/>
  <c r="S104" i="1" s="1"/>
  <c r="E105" i="1"/>
  <c r="E106" i="1"/>
  <c r="T106" i="1" s="1"/>
  <c r="E107" i="1"/>
  <c r="E108" i="1"/>
  <c r="E109" i="1"/>
  <c r="S109" i="1" s="1"/>
  <c r="E110" i="1"/>
  <c r="E111" i="1"/>
  <c r="T111" i="1" s="1"/>
  <c r="E112" i="1"/>
  <c r="E113" i="1"/>
  <c r="E114" i="1"/>
  <c r="S114" i="1" s="1"/>
  <c r="E115" i="1"/>
  <c r="E116" i="1"/>
  <c r="T116" i="1" s="1"/>
  <c r="E117" i="1"/>
  <c r="E118" i="1"/>
  <c r="E119" i="1"/>
  <c r="S119" i="1" s="1"/>
  <c r="E120" i="1"/>
  <c r="E121" i="1"/>
  <c r="T121" i="1" s="1"/>
  <c r="E122" i="1"/>
  <c r="E123" i="1"/>
  <c r="E124" i="1"/>
  <c r="S124" i="1" s="1"/>
  <c r="E125" i="1"/>
  <c r="E126" i="1"/>
  <c r="T126" i="1" s="1"/>
  <c r="E127" i="1"/>
  <c r="E128" i="1"/>
  <c r="E129" i="1"/>
  <c r="S129" i="1" s="1"/>
  <c r="E130" i="1"/>
  <c r="E131" i="1"/>
  <c r="T131" i="1" s="1"/>
  <c r="E132" i="1"/>
  <c r="E133" i="1"/>
  <c r="E134" i="1"/>
  <c r="S134" i="1" s="1"/>
  <c r="E135" i="1"/>
  <c r="E136" i="1"/>
  <c r="T136" i="1" s="1"/>
  <c r="E137" i="1"/>
  <c r="E138" i="1"/>
  <c r="E139" i="1"/>
  <c r="S139" i="1" s="1"/>
  <c r="E140" i="1"/>
  <c r="E141" i="1"/>
  <c r="T141" i="1" s="1"/>
  <c r="E142" i="1"/>
  <c r="E143" i="1"/>
  <c r="E144" i="1"/>
  <c r="S144" i="1" s="1"/>
  <c r="E145" i="1"/>
  <c r="E146" i="1"/>
  <c r="T146" i="1" s="1"/>
  <c r="E147" i="1"/>
  <c r="E148" i="1"/>
  <c r="E149" i="1"/>
  <c r="S149" i="1" s="1"/>
  <c r="E150" i="1"/>
  <c r="E151" i="1"/>
  <c r="T151" i="1" s="1"/>
  <c r="E152" i="1"/>
  <c r="E153" i="1"/>
  <c r="E154" i="1"/>
  <c r="S154" i="1" s="1"/>
  <c r="E155" i="1"/>
  <c r="E156" i="1"/>
  <c r="T156" i="1" s="1"/>
  <c r="E157" i="1"/>
  <c r="E158" i="1"/>
  <c r="E159" i="1"/>
  <c r="S159" i="1" s="1"/>
  <c r="E160" i="1"/>
  <c r="E161" i="1"/>
  <c r="T161" i="1" s="1"/>
  <c r="E162" i="1"/>
  <c r="E163" i="1"/>
  <c r="E164" i="1"/>
  <c r="S164" i="1" s="1"/>
  <c r="E165" i="1"/>
  <c r="E166" i="1"/>
  <c r="T166" i="1" s="1"/>
  <c r="E167" i="1"/>
  <c r="E168" i="1"/>
  <c r="E169" i="1"/>
  <c r="S169" i="1" s="1"/>
  <c r="E170" i="1"/>
  <c r="E171" i="1"/>
  <c r="T171" i="1" s="1"/>
  <c r="E172" i="1"/>
  <c r="E173" i="1"/>
  <c r="E174" i="1"/>
  <c r="S174" i="1" s="1"/>
  <c r="E175" i="1"/>
  <c r="E176" i="1"/>
  <c r="T176" i="1" s="1"/>
  <c r="E177" i="1"/>
  <c r="E178" i="1"/>
  <c r="E179" i="1"/>
  <c r="S179" i="1" s="1"/>
  <c r="E180" i="1"/>
  <c r="E181" i="1"/>
  <c r="T181" i="1" s="1"/>
  <c r="E182" i="1"/>
  <c r="E183" i="1"/>
  <c r="E184" i="1"/>
  <c r="S184" i="1" s="1"/>
  <c r="E185" i="1"/>
  <c r="E186" i="1"/>
  <c r="T186" i="1" s="1"/>
  <c r="E187" i="1"/>
  <c r="E188" i="1"/>
  <c r="E189" i="1"/>
  <c r="S189" i="1" s="1"/>
  <c r="E190" i="1"/>
  <c r="E191" i="1"/>
  <c r="T191" i="1" s="1"/>
  <c r="E192" i="1"/>
  <c r="E193" i="1"/>
  <c r="E194" i="1"/>
  <c r="S194" i="1" s="1"/>
  <c r="E195" i="1"/>
  <c r="E196" i="1"/>
  <c r="T196" i="1" s="1"/>
  <c r="E197" i="1"/>
  <c r="E198" i="1"/>
  <c r="E199" i="1"/>
  <c r="S199" i="1" s="1"/>
  <c r="E200" i="1"/>
  <c r="E201" i="1"/>
  <c r="T201" i="1" s="1"/>
  <c r="E202" i="1"/>
  <c r="E203" i="1"/>
  <c r="E204" i="1"/>
  <c r="S204" i="1" s="1"/>
  <c r="E205" i="1"/>
  <c r="E206" i="1"/>
  <c r="T206" i="1" s="1"/>
  <c r="E207" i="1"/>
  <c r="E208" i="1"/>
  <c r="E209" i="1"/>
  <c r="S209" i="1" s="1"/>
  <c r="E210" i="1"/>
  <c r="E211" i="1"/>
  <c r="T211" i="1" s="1"/>
  <c r="E212" i="1"/>
  <c r="E213" i="1"/>
  <c r="E214" i="1"/>
  <c r="S214" i="1" s="1"/>
  <c r="E215" i="1"/>
  <c r="E216" i="1"/>
  <c r="T216" i="1" s="1"/>
  <c r="E217" i="1"/>
  <c r="E218" i="1"/>
  <c r="E219" i="1"/>
  <c r="S219" i="1" s="1"/>
  <c r="E220" i="1"/>
  <c r="E221" i="1"/>
  <c r="T221" i="1" s="1"/>
  <c r="E222" i="1"/>
  <c r="E223" i="1"/>
  <c r="E224" i="1"/>
  <c r="S224" i="1" s="1"/>
  <c r="E225" i="1"/>
  <c r="E226" i="1"/>
  <c r="T226" i="1" s="1"/>
  <c r="E227" i="1"/>
  <c r="E228" i="1"/>
  <c r="E229" i="1"/>
  <c r="S229" i="1" s="1"/>
  <c r="E230" i="1"/>
  <c r="E231" i="1"/>
  <c r="T231" i="1" s="1"/>
  <c r="E232" i="1"/>
  <c r="E233" i="1"/>
  <c r="E234" i="1"/>
  <c r="S234" i="1" s="1"/>
  <c r="E235" i="1"/>
  <c r="E236" i="1"/>
  <c r="T236" i="1" s="1"/>
  <c r="E237" i="1"/>
  <c r="E238" i="1"/>
  <c r="E239" i="1"/>
  <c r="S239" i="1" s="1"/>
  <c r="E240" i="1"/>
  <c r="E241" i="1"/>
  <c r="T241" i="1" s="1"/>
  <c r="E242" i="1"/>
  <c r="E243" i="1"/>
  <c r="E244" i="1"/>
  <c r="S244" i="1" s="1"/>
  <c r="E245" i="1"/>
  <c r="E246" i="1"/>
  <c r="T246" i="1" s="1"/>
  <c r="E247" i="1"/>
  <c r="E248" i="1"/>
  <c r="E249" i="1"/>
  <c r="S249" i="1" s="1"/>
  <c r="E250" i="1"/>
  <c r="E251" i="1"/>
  <c r="T251" i="1" s="1"/>
  <c r="E252" i="1"/>
  <c r="E4" i="1"/>
  <c r="E5" i="1"/>
  <c r="E6" i="1"/>
  <c r="E7" i="1"/>
  <c r="I6" i="1" l="1"/>
  <c r="I3" i="1"/>
  <c r="G5" i="2"/>
  <c r="G6" i="2"/>
  <c r="G7" i="2"/>
  <c r="G3" i="2"/>
  <c r="G4" i="1"/>
  <c r="G7" i="1"/>
  <c r="G6" i="1"/>
  <c r="G5" i="1"/>
  <c r="G3" i="1"/>
  <c r="G4" i="2"/>
  <c r="T6" i="1"/>
  <c r="S4" i="1"/>
  <c r="S253" i="1" s="1"/>
  <c r="G11" i="2" l="1"/>
  <c r="G10" i="1"/>
</calcChain>
</file>

<file path=xl/sharedStrings.xml><?xml version="1.0" encoding="utf-8"?>
<sst xmlns="http://schemas.openxmlformats.org/spreadsheetml/2006/main" count="2034" uniqueCount="624">
  <si>
    <t>senderNetwork</t>
  </si>
  <si>
    <t>c</t>
  </si>
  <si>
    <t>_id</t>
  </si>
  <si>
    <t>summary.split</t>
  </si>
  <si>
    <t>summary.method</t>
  </si>
  <si>
    <t>summary.gasUsed</t>
  </si>
  <si>
    <t>summary.blockNumber</t>
  </si>
  <si>
    <t>summary.memory</t>
  </si>
  <si>
    <t>summary.transactionHash</t>
  </si>
  <si>
    <t>ropsten</t>
  </si>
  <si>
    <t>5f60525950d4310e68182755</t>
  </si>
  <si>
    <t>update</t>
  </si>
  <si>
    <t>entryTransaction</t>
  </si>
  <si>
    <t>add</t>
  </si>
  <si>
    <t>exitTransaction</t>
  </si>
  <si>
    <t>approve</t>
  </si>
  <si>
    <t>5f6051c250d4310e68182754</t>
  </si>
  <si>
    <t>5f60513550d4310e68182753</t>
  </si>
  <si>
    <t>5f6050a250d4310e68182752</t>
  </si>
  <si>
    <t>5f60504250d4310e68182751</t>
  </si>
  <si>
    <t>5f604f9650d4310e68182750</t>
  </si>
  <si>
    <t>5f604eff50d4310e6818274f</t>
  </si>
  <si>
    <t>5f604e8150d4310e6818274e</t>
  </si>
  <si>
    <t>5f604dd750d4310e6818274d</t>
  </si>
  <si>
    <t>5f604d2c50d4310e6818274c</t>
  </si>
  <si>
    <t>5f604ca150d4310e6818274b</t>
  </si>
  <si>
    <t>5f604c1a50d4310e6818274a</t>
  </si>
  <si>
    <t>5f604b3c50d4310e68182749</t>
  </si>
  <si>
    <t>5f604aa950d4310e68182748</t>
  </si>
  <si>
    <t>5f604a1350d4310e68182747</t>
  </si>
  <si>
    <t>5f60498650d4310e68182746</t>
  </si>
  <si>
    <t>5f6048a350d4310e68182745</t>
  </si>
  <si>
    <t>5f60482c50d4310e68182744</t>
  </si>
  <si>
    <t>5f6047af50d4310e68182743</t>
  </si>
  <si>
    <t>5f6046f350d4310e68182742</t>
  </si>
  <si>
    <t>0x024b7ad0b55bbba6b2413424a1b7b4d2f8ed1eaa298f9bbeff295552476003a8</t>
  </si>
  <si>
    <t>0xb7b3a9e79ca77c89ad4aa5a9016cd0b131cf2d4c7b3a57f2db477a7d5badd326</t>
  </si>
  <si>
    <t>5f60467550d4310e68182741</t>
  </si>
  <si>
    <t>5f6045cd50d4310e68182740</t>
  </si>
  <si>
    <t>5f60450a50d4310e6818273f</t>
  </si>
  <si>
    <t>5f60446d50d4310e6818273e</t>
  </si>
  <si>
    <t>5f60438050d4310e6818273d</t>
  </si>
  <si>
    <t>5f6042c750d4310e6818273c</t>
  </si>
  <si>
    <t>5f60425550d4310e6818273b</t>
  </si>
  <si>
    <t>5f6041a650d4310e6818273a</t>
  </si>
  <si>
    <t>5f60411250d4310e68182739</t>
  </si>
  <si>
    <t>5f6040a650d4310e68182738</t>
  </si>
  <si>
    <t>5f60404750d4310e68182737</t>
  </si>
  <si>
    <t>5f603fa050d4310e68182736</t>
  </si>
  <si>
    <t>5f603f4150d4310e68182735</t>
  </si>
  <si>
    <t>5f603e8550d4310e68182734</t>
  </si>
  <si>
    <t>5f603d7650d4310e68182733</t>
  </si>
  <si>
    <t>5f603c9a50d4310e68182732</t>
  </si>
  <si>
    <t>5f603b9c50d4310e68182731</t>
  </si>
  <si>
    <t>5f603b1450d4310e68182730</t>
  </si>
  <si>
    <t>5f603a2950d4310e6818272f</t>
  </si>
  <si>
    <t>5f60397650d4310e6818272e</t>
  </si>
  <si>
    <t>5f6038f950d4310e6818272d</t>
  </si>
  <si>
    <t>5f60387b50d4310e6818272c</t>
  </si>
  <si>
    <t>5f6037b350d4310e6818272b</t>
  </si>
  <si>
    <t>5f60371150d4310e6818272a</t>
  </si>
  <si>
    <t>5f60369250d4310e68182729</t>
  </si>
  <si>
    <t>5f6035b250d4310e68182728</t>
  </si>
  <si>
    <t>5f60351550d4310e68182727</t>
  </si>
  <si>
    <t>5f60347250d4310e68182726</t>
  </si>
  <si>
    <t>5f6033c850d4310e68182725</t>
  </si>
  <si>
    <t>5f60327a50d4310e68182724</t>
  </si>
  <si>
    <t>rinkeby</t>
  </si>
  <si>
    <t>5f602c15a299621ba85a5daa</t>
  </si>
  <si>
    <t>5f602b9ca299621ba85a5da9</t>
  </si>
  <si>
    <t>5f602b34a299621ba85a5da8</t>
  </si>
  <si>
    <t>5f602ab0a299621ba85a5da7</t>
  </si>
  <si>
    <t>5f602a35a299621ba85a5da6</t>
  </si>
  <si>
    <t>5f6029cba299621ba85a5da5</t>
  </si>
  <si>
    <t>5f602963a299621ba85a5da4</t>
  </si>
  <si>
    <t>5f6028d9a299621ba85a5da3</t>
  </si>
  <si>
    <t>5f602882a299621ba85a5da2</t>
  </si>
  <si>
    <t>5f602813a299621ba85a5da1</t>
  </si>
  <si>
    <t>5f602794a299621ba85a5da0</t>
  </si>
  <si>
    <t>5f60271da299621ba85a5d9f</t>
  </si>
  <si>
    <t>5f602685a299621ba85a5d9e</t>
  </si>
  <si>
    <t>5f6025fea299621ba85a5d9d</t>
  </si>
  <si>
    <t>5f602589a299621ba85a5d9c</t>
  </si>
  <si>
    <t>5f602501a299621ba85a5d9b</t>
  </si>
  <si>
    <t>5f6023f5a299621ba85a5d9a</t>
  </si>
  <si>
    <t>5f60236aa299621ba85a5d99</t>
  </si>
  <si>
    <t>5f6022d7a299621ba85a5d98</t>
  </si>
  <si>
    <t>5f602240a299621ba85a5d97</t>
  </si>
  <si>
    <t>5f6021c5a299621ba85a5d96</t>
  </si>
  <si>
    <t>5f60214fa299621ba85a5d95</t>
  </si>
  <si>
    <t>5f6020e7a299621ba85a5d94</t>
  </si>
  <si>
    <t>5f60205da299621ba85a5d93</t>
  </si>
  <si>
    <t>5f601f9ca299621ba85a5d92</t>
  </si>
  <si>
    <t>5f601f25a299621ba85a5d91</t>
  </si>
  <si>
    <t>5f601eaaa299621ba85a5d90</t>
  </si>
  <si>
    <t>5f601e42a299621ba85a5d8f</t>
  </si>
  <si>
    <t>5f601dc6a299621ba85a5d8e</t>
  </si>
  <si>
    <t>5f601d35a299621ba85a5d8d</t>
  </si>
  <si>
    <t>5f601cbca299621ba85a5d8c</t>
  </si>
  <si>
    <t>5f601c26a299621ba85a5d8b</t>
  </si>
  <si>
    <t>5f601b8ca299621ba85a5d8a</t>
  </si>
  <si>
    <t>5f601af9a299621ba85a5d89</t>
  </si>
  <si>
    <t>5f601a8ba299621ba85a5d88</t>
  </si>
  <si>
    <t>5f601a08a299621ba85a5d87</t>
  </si>
  <si>
    <t>5f601980a299621ba85a5d86</t>
  </si>
  <si>
    <t>5f6018dba299621ba85a5d85</t>
  </si>
  <si>
    <t>5f601846a299621ba85a5d84</t>
  </si>
  <si>
    <t>5f6017bba299621ba85a5d83</t>
  </si>
  <si>
    <t>5f60173aa299621ba85a5d82</t>
  </si>
  <si>
    <t>5f6016b3a299621ba85a5d81</t>
  </si>
  <si>
    <t>5f601648a299621ba85a5d80</t>
  </si>
  <si>
    <t>5f6015b0a299621ba85a5d7f</t>
  </si>
  <si>
    <t>5f60152aa299621ba85a5d7e</t>
  </si>
  <si>
    <t>5f6014a3a299621ba85a5d7d</t>
  </si>
  <si>
    <t>5f60141fa299621ba85a5d7c</t>
  </si>
  <si>
    <t>5f6013a2a299621ba85a5d7b</t>
  </si>
  <si>
    <t>5f601320a299621ba85a5d7a</t>
  </si>
  <si>
    <t>5f60120ea299621ba85a5d79</t>
  </si>
  <si>
    <t>https://rinkeby.etherscan.io/tx/0x6ba4832397c5db38f415b6fdcac9dae72fa0db5e395ad9c0d411403c6d44b401</t>
  </si>
  <si>
    <t>https://rinkeby.etherscan.io/tx/0x45ab2eec89ff210a24756538d949d6dd80e7d07e04c5d15011f90a7daae7d9ca</t>
  </si>
  <si>
    <t>https://rinkeby.etherscan.io/tx/0xc5a2c89e691c846c3df82df95acd8b223d7abfddc0e491fcd446708b359bbc36</t>
  </si>
  <si>
    <t>https://ropsten.etherscan.io/tx/0xc9d65a04ee78a8e709148067633136d05035958075f42b26cb7f7876b4c464e0</t>
  </si>
  <si>
    <t>https://ropsten.etherscan.io/tx/0x1e313b9888fb9fda4f349cbb96898096596c0566672d4a1b46ab6a2f9f90f6d8</t>
  </si>
  <si>
    <t>https://ropsten.etherscan.io/tx/0x54fcb6ae4ae2fc9a556bba3bc9937793bce4a3a2fed783ea37dd1252ee2abfa5</t>
  </si>
  <si>
    <t>https://ropsten.etherscan.io/tx/0xe57922eb64a44bc2cbb68661b5ca02ef9ade6b33f09805b4180e6f6ca47bf486</t>
  </si>
  <si>
    <t>https://rinkeby.etherscan.io/tx/0x26a50ff05d9868ba6cf764024024515f5b24b0f9850d9bfcf421085bd3077d43</t>
  </si>
  <si>
    <t>https://rinkeby.etherscan.io/tx/0xa3fabf5cb20d4110bbc0731ddfae77834bcb1983b3aaf18a2ea6d33b9ef32165</t>
  </si>
  <si>
    <t>https://ropsten.etherscan.io/tx/0x1c92acd2345272ed2ab16cd1081b73ec6367d20caac34ae266216a8ada145c52</t>
  </si>
  <si>
    <t>https://rinkeby.etherscan.io/tx/0xb3859afb4fd9653dc2915311c23e0e17d84aa986d976601162d1020076abcd5e</t>
  </si>
  <si>
    <t>https://rinkeby.etherscan.io/tx/0xeab75cadb3eb0f83fa5c980dc7527992c4e6cfca0e802abbd413114462164d96</t>
  </si>
  <si>
    <t>https://rinkeby.etherscan.io/tx/0x80ac743135b9c0d46aec7c2a4ae7f4daa15ede1ddf2c249923b56dfd2190df48</t>
  </si>
  <si>
    <t>https://ropsten.etherscan.io/tx/0xb2a24809b51e92fe78ed089848f322960caa87df8ef7e791317a63c231b71ca9</t>
  </si>
  <si>
    <t>https://ropsten.etherscan.io/tx/0xa7eed9d3f879994785580ff1af10a04fa1c3f64be8795d4466fd5d8ebb399019</t>
  </si>
  <si>
    <t>timeTaken</t>
  </si>
  <si>
    <t>cost (Ethers)</t>
  </si>
  <si>
    <t>https://ropsten.etherscan.io/tx/0xd894a760a4a266541c4e515137441f5abe845656a73bc372e7e24d69bf19a1af</t>
  </si>
  <si>
    <t>https://ropsten.etherscan.io/tx/0xd095e594fa778726d0a88bdddd06bd0c1ebba38a866ada0c0621727e7352c49c</t>
  </si>
  <si>
    <t>https://ropsten.etherscan.io/tx/0x36fbca5e7e150549c5ed935deb326693c7f6bd593c94717d4c7d6c47be664bd4</t>
  </si>
  <si>
    <t>https://ropsten.etherscan.io/tx/0x441c6e4837c8e58fa9a7b4bf69fdc9656958f75d63bb28225da4be620cd7f34c</t>
  </si>
  <si>
    <t>https://ropsten.etherscan.io/tx/0x9e66904faf9086083d76893156c808ff7a43c32b96a4342001ab012b5b998125</t>
  </si>
  <si>
    <t>https://ropsten.etherscan.io/tx/0x6ffbe3518f7779a60e0ad3c32bc9dd0c6d645fee408b575098e0a196a1b3256e</t>
  </si>
  <si>
    <t>https://ropsten.etherscan.io/tx/0x9e6adf19670b1ebe01ad9fbad3adb6d095344de09cb88ff5e50279f6573a33a4</t>
  </si>
  <si>
    <t>https://ropsten.etherscan.io/tx/0xbefd4b78ece255f94ea77f2321baffb8ee7131e641d30a1d0a1e087fb9418c3b</t>
  </si>
  <si>
    <t>https://ropsten.etherscan.io/tx/0x61393ed67406f4831c6ab543b65eea1b93ccbf0f3fa189cc0ac6d598c36e01ea</t>
  </si>
  <si>
    <t>https://ropsten.etherscan.io/tx/0x608ffaa7a646f4f8315eca13407782b0c541b59895dbe43d36cc503f1035edfd</t>
  </si>
  <si>
    <t>https://ropsten.etherscan.io/tx/0x27dd460dfa60b478323e0cca1e8de8222c1bbcf5a386a4000ef2b694c6dfb6fd</t>
  </si>
  <si>
    <t>https://ropsten.etherscan.io/tx/0x97588e4a3c1eaafb5c2595814636ffdbdc2968f3c87142be08e33034716d425e</t>
  </si>
  <si>
    <t>https://ropsten.etherscan.io/tx/0x16e246303e50841d2f751e0966b5cc45fe7f20fc7fa69d1a05527af185d889ae</t>
  </si>
  <si>
    <t>https://ropsten.etherscan.io/tx/0x9a694e96085745e6d1b066b15a68d6d93cc74eeb19d6e6d24b26ae86e1950730</t>
  </si>
  <si>
    <t>https://ropsten.etherscan.io/tx/0x7bc089bdde9b29a94d729137e1c0f97949e26e68c45594eb906e8dc38af7e0bf</t>
  </si>
  <si>
    <t>https://ropsten.etherscan.io/tx/0x4c2f3d3134f12162b5657343b50c5ee34200ca5a9b1f6ad6a9b2ebbbfbcba7d8</t>
  </si>
  <si>
    <t>https://ropsten.etherscan.io/tx/0xf3a4e0d9689afcbfff2e8bdeafe1ae0404ab1f8b203c3192967a1ec764cb3345</t>
  </si>
  <si>
    <t>https://ropsten.etherscan.io/tx/0x13871ed71d84ab64c95211c4a07a29f2a472b3dee0f55da16608631a62f7c532</t>
  </si>
  <si>
    <t>https://ropsten.etherscan.io/tx/0x26d5e9cd21aa3d14f7fd927d1d217faa70a1af655031ef98cbfd9f6140050c5c</t>
  </si>
  <si>
    <t>https://ropsten.etherscan.io/tx/0x061d6e1614bff04bbf33eb465759900041203fb81b438d8e5709abd0c367ec82</t>
  </si>
  <si>
    <t>https://ropsten.etherscan.io/tx/0x6298311c3aac202c0299261732079daaf65f5ce5c13b31da414c543e6138486a</t>
  </si>
  <si>
    <t>https://ropsten.etherscan.io/tx/0x109133afeb30558c49d0a436848830b05d07a232516658d12e6efef794495bf7</t>
  </si>
  <si>
    <t>https://ropsten.etherscan.io/tx/0x1ce5db8af603657d1ad438cd21ae341c380cc81e9210254b4eaa4854f26a95df</t>
  </si>
  <si>
    <t>https://ropsten.etherscan.io/tx/0x6b14285acdc70066088f44e50615711a0fa02ec6f71565eaefc238cf63cfc21f</t>
  </si>
  <si>
    <t>https://ropsten.etherscan.io/tx/0x0bce594ac4184e55d875b48009e7d79a27bd94ef09fb14aadc22751404bd3f55</t>
  </si>
  <si>
    <t>https://ropsten.etherscan.io/tx/0x10ee18ee4960682520758d5eba2ca62de16c0b39638b34e7f439ab8c9d889db0</t>
  </si>
  <si>
    <t>https://ropsten.etherscan.io/tx/0x637579c4678bc8b8ce42ee4ddd43d1f7857cf063f372772c538aa51a6cab2902</t>
  </si>
  <si>
    <t>https://ropsten.etherscan.io/tx/0x861328163ba997dac05dbd5f490a3879697eae234ea7d91ddb2bb2dee66fc588</t>
  </si>
  <si>
    <t>https://ropsten.etherscan.io/tx/0xb57d1d8f30a130109663da7a54905709626381901d0a0a35be6f4ae9c64685fc</t>
  </si>
  <si>
    <t>https://ropsten.etherscan.io/tx/0x5d6502c3284711c1639a4a76ddfe0377cc0fafa518cda3e8c5ff86506ab7dc26</t>
  </si>
  <si>
    <t>https://ropsten.etherscan.io/tx/0xeb4e4b4b73bc5f9faa49c7e8e0b1333f43fb45a022c6d7111caf555e809a8333</t>
  </si>
  <si>
    <t>https://ropsten.etherscan.io/tx/0xe4fc1f01f44d91656077f797237a33a60386112c58ae82775afa437a1a76895a</t>
  </si>
  <si>
    <t>https://ropsten.etherscan.io/tx/0x46aee64005b20fa9c0c6bc50cc2594a357e02436fec63994c73a4ed4ceebedea</t>
  </si>
  <si>
    <t>https://ropsten.etherscan.io/tx/0x843f4dd5d4f3ef972fafba7f7e23740e8c19eea04fc41377c22b3c2061da7413</t>
  </si>
  <si>
    <t>https://ropsten.etherscan.io/tx/0xf09bb60d03f39db571fe42bd3c6148f76b71d11ac10c16bbe03777ed83c11da3</t>
  </si>
  <si>
    <t>https://ropsten.etherscan.io/tx/0x711276909ee9326f8992903286cfd3d5a227f5ee7b10c93fb09a6fe73b5767e2</t>
  </si>
  <si>
    <t>https://ropsten.etherscan.io/tx/0xac458256ccac38f1e18e3bf8d5513aa47d6799e5ec7fddd0ebf11f97a94a8879</t>
  </si>
  <si>
    <t>https://ropsten.etherscan.io/tx/0x94c4ea4d1fa8f27a3558896e33abe5cf9b110d8a00c773f38458639c9765e5a4</t>
  </si>
  <si>
    <t>https://ropsten.etherscan.io/tx/0xe32ae755b6f44aa54e8ff314efc0f92eec6072a2462888a0cc466192a4c7d148</t>
  </si>
  <si>
    <t>https://ropsten.etherscan.io/tx/0x2b01087549919b0a99618738632c227106bf5ea48a4fed108c7b07d94597bc99</t>
  </si>
  <si>
    <t>https://ropsten.etherscan.io/tx/0x3e4443aa4678ce10fbada2ce011f253c6e42f30a5b0e632a09767c8da6d08ccd</t>
  </si>
  <si>
    <t>https://ropsten.etherscan.io/tx/0xf83573e624f9dc8540265aea3c26497d6639a50c44be085098af65e4a0b85d38</t>
  </si>
  <si>
    <t>https://ropsten.etherscan.io/tx/0xa5aa755b35c35da3811b533d248f56bc6506b36b3eecaab16e11eaa82b302dd2</t>
  </si>
  <si>
    <t>https://ropsten.etherscan.io/tx/0x176375f27b62a355a377251c84452865194cd3d5422866ada87c26757f287500</t>
  </si>
  <si>
    <t>https://ropsten.etherscan.io/tx/0xef50a79772cc774bb655f1282bf39e46cbba275e7d0007d5b70becd55a93b866</t>
  </si>
  <si>
    <t>https://ropsten.etherscan.io/tx/0x803ba822032a397f7d4424387771f5495c1b6d0be9cea860660e3c974110bb9f</t>
  </si>
  <si>
    <t>https://ropsten.etherscan.io/tx/0x3a20b849b483fdbd59167d25cf7529d7180b978242344c70080a0e5ef5f5131a</t>
  </si>
  <si>
    <t>https://ropsten.etherscan.io/tx/0x96cf8352423230f6074befceacbdab226e05ccb1ce47d06a3a8fbef63efb2e29</t>
  </si>
  <si>
    <t>https://ropsten.etherscan.io/tx/0x42e84a7069e8824863c9fbed4abca37b6a6be4227bbc97a1825d4394927abc3b</t>
  </si>
  <si>
    <t>https://ropsten.etherscan.io/tx/0xf7ccdeb157fd92566de3448d7f007981adbeeed8f8d4cf9abf7f40de23ed6025</t>
  </si>
  <si>
    <t>https://ropsten.etherscan.io/tx/0xfe82408d671661f2ea35aa4c52fa9146e72c557b37009cfa6add907d1effdb36</t>
  </si>
  <si>
    <t>https://ropsten.etherscan.io/tx/0x60ab5c6a8f9f6fea745d51fc21c2d632ff8bbaa95d3fd7219548e0440717766e</t>
  </si>
  <si>
    <t>https://ropsten.etherscan.io/tx/0x03fd3d09be8148d7c0c9d9a2973769fdab4ef261cf6c0b36992c2604fc55e266</t>
  </si>
  <si>
    <t>https://ropsten.etherscan.io/tx/0x54f98ba28a036336ecedd19c06af673087beba75c4af6d0594976004c029f524</t>
  </si>
  <si>
    <t>https://ropsten.etherscan.io/tx/0xf32207abe14aaf660491222fa450eb6de5b87b995e02996aa2369c4720b17e25</t>
  </si>
  <si>
    <t>https://ropsten.etherscan.io/tx/0x0d298b24ba9fb61e3a036c0982ca47c76a003820e40a50ece95c0c4aa68471bc</t>
  </si>
  <si>
    <t>https://ropsten.etherscan.io/tx/0xf7279abe4a5cf132ea63d8517f2aebdfae0fec0171a286bb7467ecabda82ea01</t>
  </si>
  <si>
    <t>https://ropsten.etherscan.io/tx/0x3f994a0a2bd86b34985c7d1097e8012ded0458f3ac9173032c8204f46fbfe05d</t>
  </si>
  <si>
    <t>https://ropsten.etherscan.io/tx/0x60b3cc7c5326f3f689ddb5fee0c29c6cb02c482cb39af1d52cc22c6242e64d49</t>
  </si>
  <si>
    <t>https://ropsten.etherscan.io/tx/0x2f8a32f85f8cbdbaf19da622016410425ddcebbb2e6eeef764ff541046ffffb6</t>
  </si>
  <si>
    <t>https://ropsten.etherscan.io/tx/0x981ca44156a8bf546bccd0e3d07df88b511d3d99c5489e822d6e8a100581c4da</t>
  </si>
  <si>
    <t>https://ropsten.etherscan.io/tx/0x34e3e1ad30e6dfc6c41197dfa7a10904bfcc0b948e0ad2dda0b6e55ba7c8e6a1</t>
  </si>
  <si>
    <t>https://ropsten.etherscan.io/tx/0x92eb53fa27c0c763c235b22211c67c9f09d47eb898471bcdc3d8f165f56ca8d5</t>
  </si>
  <si>
    <t>https://ropsten.etherscan.io/tx/0xda62f4e0bb9f216efd5137706a5b7cd4b6e6f03d416e4398a8c89a03d536239f</t>
  </si>
  <si>
    <t>https://ropsten.etherscan.io/tx/0x4e2c253475b4a2e9cd0da896f524b15364f2142959b6bcac83473d0aca1c4600</t>
  </si>
  <si>
    <t>https://ropsten.etherscan.io/tx/0x440397029807f67432d5a98c49cb177bb6c423e34687f83596e2559d337f73d3</t>
  </si>
  <si>
    <t>https://ropsten.etherscan.io/tx/0x8386b5e67c9fce377a3637af66d4128debdf0ffc439d9f6919a36d34245f0ec4</t>
  </si>
  <si>
    <t>https://ropsten.etherscan.io/tx/0x78970ee9dd67c5d13347262b69a07b904c9577ea221d6cfe803211767bdafeed</t>
  </si>
  <si>
    <t>https://ropsten.etherscan.io/tx/0x2262486c382f625753ed53301adb2d3cb62e30f6b4295c2ddcd2006035e59ee6</t>
  </si>
  <si>
    <t>https://ropsten.etherscan.io/tx/0x5b7c781d177d5f66f4b8c8cba9856fb220374796d2866d7155d2644c72455f5b</t>
  </si>
  <si>
    <t>https://ropsten.etherscan.io/tx/0xd48a9f244c5b30d4d585dd4725ea10565abc5700b02bf26af484b80ddc82e274</t>
  </si>
  <si>
    <t>https://ropsten.etherscan.io/tx/0xb0f3056c393fa61cff2390a85bd52146bab98093a61a0ae10cee5e1e124be5f2</t>
  </si>
  <si>
    <t>https://ropsten.etherscan.io/tx/0x7e704b2e4bb01125d14bf2a77674aa02fddfd4981365f3d19342b7791f8a2c1e</t>
  </si>
  <si>
    <t>https://ropsten.etherscan.io/tx/0xef640b0849e32a4f6cf75cbea3c5754839dabeb9105c2fc2d1c8252b3752d386</t>
  </si>
  <si>
    <t>https://ropsten.etherscan.io/tx/0x0c3eeb3381f31845ca6b73571e1b4b44f49076e736dcf6c0f239123a75d1eac1</t>
  </si>
  <si>
    <t>https://ropsten.etherscan.io/tx/0x2a4e08937bc85005b4f9bbfe63c99b0097932b0fd0473369728611760b098d76</t>
  </si>
  <si>
    <t>https://ropsten.etherscan.io/tx/0x58d02689271b011b1909394d7f6ad05d53081abb7729086ddd00a9d80348ba81</t>
  </si>
  <si>
    <t>https://ropsten.etherscan.io/tx/0x91dd36cfcf6b418cca9ebe8e1ae9aab8de88f9dcb0a387975b2424b601e6755a</t>
  </si>
  <si>
    <t>https://ropsten.etherscan.io/tx/0x12e814883537cdae39382bf1ac7e9300dc0cf88600db1ec89f4110b20c308784</t>
  </si>
  <si>
    <t>https://ropsten.etherscan.io/tx/0x20f081fdc468909ee9e39118f3b39cd2f33ba837c4d1728eeffa76b6538edd50</t>
  </si>
  <si>
    <t>https://ropsten.etherscan.io/tx/0x3c58a9cd10ecfa080ef64b75b483921fc6c34ec4776977c3cedbb392e99d391b</t>
  </si>
  <si>
    <t>https://ropsten.etherscan.io/tx/0x28ba99de8581fdaf1cddec8e76c232a2640420391e7a0adc6dd01aeb15680632</t>
  </si>
  <si>
    <t>https://ropsten.etherscan.io/tx/0x7cbcbe268bf14d59736e8786355d454e273e20e523f17b95d54e350f113669b2</t>
  </si>
  <si>
    <t>https://ropsten.etherscan.io/tx/0xb3b40e278f93d483da2e675d72f2320d369ac69f2debb61be32074563b17ef30</t>
  </si>
  <si>
    <t>https://ropsten.etherscan.io/tx/0x1efe74d7ba20f24d166fd4b43d2a4f54639709eafc217e5b73ed4dbbb38daef6</t>
  </si>
  <si>
    <t>https://ropsten.etherscan.io/tx/0x937e04815b4d81b167eb2ca7c4f2a85893918d4868548a4c7f919ea957500842</t>
  </si>
  <si>
    <t>https://ropsten.etherscan.io/tx/0x8d7304588ad7d6b6182c0fa3ee0221ae4317ce7200e057a38624fa91650e7753</t>
  </si>
  <si>
    <t>https://ropsten.etherscan.io/tx/0x2b00a871c93dffb608addb146066f3130c9fd1a78c002de13d63cb98706a6bee</t>
  </si>
  <si>
    <t>https://ropsten.etherscan.io/tx/0x532ca9268630f98dd9c4de4b73208c2564854c8dd4b41d8615aca72750111d72</t>
  </si>
  <si>
    <t>https://ropsten.etherscan.io/tx/0x6b773a9aeaf04f640b05edecaf4d846f0163526c515b13cdaf6010363c649545</t>
  </si>
  <si>
    <t>https://ropsten.etherscan.io/tx/0x0cdba759401c105ccb7d8819ac0ffe21a24b309bfb96271d0b782201bc31b66d</t>
  </si>
  <si>
    <t>https://ropsten.etherscan.io/tx/0x7e71c927d80e2e299b25f09da7306d947f9cd07c5ee280fcdd436b966896b2b8</t>
  </si>
  <si>
    <t>https://ropsten.etherscan.io/tx/0x5a59964a72548c2636a26e758ceaa140e53887b877774fe34033625d3a066735</t>
  </si>
  <si>
    <t>https://ropsten.etherscan.io/tx/0x309b59825e20d09b6d9cecdecdb7cde51353305732aa0548322e44d895fca1e8</t>
  </si>
  <si>
    <t>https://ropsten.etherscan.io/tx/0xb7483805fbcc88433f3e13a37d8071dce2a80a3f274b9d7679fd2fc9b138052f</t>
  </si>
  <si>
    <t>https://ropsten.etherscan.io/tx/0x47c1f8afe903fa0510ae004eb22401294d84c2819ddff0eb501202bed9cbf5ff</t>
  </si>
  <si>
    <t>https://ropsten.etherscan.io/tx/0xd28a1fd868854e006478da07b478b2dc6bb5d30afee43e5b3c5dfa42466144c2</t>
  </si>
  <si>
    <t>https://ropsten.etherscan.io/tx/0x88b28a90366795655dbcd38dfc1cbd74dade00211b1261ad75532ea56c1dacf0</t>
  </si>
  <si>
    <t>https://ropsten.etherscan.io/tx/0x51810cb8acd8c96ca06f308e7afac50d5e4cc8de469a69bba4ab8050ee3b3bab</t>
  </si>
  <si>
    <t>https://ropsten.etherscan.io/tx/0xa47bf9d032b3ff8957cd546e42128abc223d7666049e3c9a1278ecc4bc5029db</t>
  </si>
  <si>
    <t>https://ropsten.etherscan.io/tx/0xc93b9f867dd77e3f1f46cc8060c93aa805810821a8f1f5999b9c409e27340c9e</t>
  </si>
  <si>
    <t>https://ropsten.etherscan.io/tx/0x03a7f461db2ef3bba8f10bb91ae7318ce1f66e011e2f51ccfe6489511f43557b</t>
  </si>
  <si>
    <t>https://ropsten.etherscan.io/tx/0x80360cccc576ee7248ac358db8855450f7dac6e2932b3f99568e236df43e07ae</t>
  </si>
  <si>
    <t>https://ropsten.etherscan.io/tx/0xb3ae04831fc2906b997b2dde886d5cd6e6b67ec97fdaf0724bc60439e8704459</t>
  </si>
  <si>
    <t>https://ropsten.etherscan.io/tx/0x60159c7b62040ab254ad3e55d4dfd463760cfc8da25f1bc3a0f0dc592e334752</t>
  </si>
  <si>
    <t>https://ropsten.etherscan.io/tx/0x6f95e758ebb2c0571fa2770a6f8ac27a1fe90071ed63d565339fcf5c96027100</t>
  </si>
  <si>
    <t>https://ropsten.etherscan.io/tx/0xe030263e19187d026d92cd6337fa27e9a4b55f4c464b3775c5eccea7976e4728</t>
  </si>
  <si>
    <t>https://ropsten.etherscan.io/tx/0x74e835d3a96d7c7a4b7810e698f4720a6cdc2c12fa88c33255fd91af8ad2be9a</t>
  </si>
  <si>
    <t>https://ropsten.etherscan.io/tx/0xc69d2e4d16939dad56e333ae0211259132bcf5e7dd07393bae43f4de1c505855</t>
  </si>
  <si>
    <t>https://ropsten.etherscan.io/tx/0xf4dc3aa8eb341e2165f69ba060fd5de65ab1d6a7ce7bcfbcc06d04fb4203559f</t>
  </si>
  <si>
    <t>https://ropsten.etherscan.io/tx/0xe0ddab0645c5c11afa98b7d1165aa56f27f0df7498df140df84ff9b97fe3456c</t>
  </si>
  <si>
    <t>https://ropsten.etherscan.io/tx/0x301f91811bbba54145e4e416adc29262ddfc89ec6b70b316dcc4fe02e01ec45e</t>
  </si>
  <si>
    <t>https://ropsten.etherscan.io/tx/0x4270e68352d471588b540fe7ba551cfcaec605ede720a37f07b3090dce5cd9ce</t>
  </si>
  <si>
    <t>https://ropsten.etherscan.io/tx/0x5d34cc0dc5bb4c9c0e05e181d5894fe30b9569f68387a3b7a1f3c8dce1b39b1d</t>
  </si>
  <si>
    <t>https://ropsten.etherscan.io/tx/0x3da4dbf4ddd28698bf9f9f10778790aef24f6629205b43d46615a7a961a6389d</t>
  </si>
  <si>
    <t>https://ropsten.etherscan.io/tx/0x2385b439832aa1ad3302d38d517b97414d42a1f1e81911b5337d0ebf14b327f2</t>
  </si>
  <si>
    <t>https://ropsten.etherscan.io/tx/0x0760db1c5cd9a899b0bcc736608bbe9c3c2b9ab08a3a0ca5c889801ee86c79af</t>
  </si>
  <si>
    <t>https://ropsten.etherscan.io/tx/0x8453fb7cfb5513a3cb96814e2387b5884dc316feba6c2f9b485e2788913c3f0c</t>
  </si>
  <si>
    <t>https://ropsten.etherscan.io/tx/0x05deaa2121fe3abe878e43f29c70b97bf478b7510d6554a5adf9e571b21a5cc2</t>
  </si>
  <si>
    <t>https://ropsten.etherscan.io/tx/0x743c3feb01edc2c0ad1a71de5a1510f4a69f57f6dbe8e6ed4e6fc85229ac5fc5</t>
  </si>
  <si>
    <t>https://ropsten.etherscan.io/tx/0x62273962ae31d08ae9d8a46ab494c5140977364ff85a888ba7759e641d79412e</t>
  </si>
  <si>
    <t>https://ropsten.etherscan.io/tx/0xc556299fc60773d71990cf15c42b306ff25d211372aabed23b7d8766534e3830</t>
  </si>
  <si>
    <t>https://ropsten.etherscan.io/tx/0xc0b694ab50764bb8fd40e95e150b6075f93f16a73d9d9e1be6c492c7b66d5f06</t>
  </si>
  <si>
    <t>https://ropsten.etherscan.io/tx/0x6dbeae5216f697cd2f40dac541e649e4df92e7bccc57fb650fba31f6bce33ac6</t>
  </si>
  <si>
    <t>https://ropsten.etherscan.io/tx/0x1767fc6a7508f4a26d16bf8d8b947e438e7c49294be029b3352b8cda49c9ff8f</t>
  </si>
  <si>
    <t>https://ropsten.etherscan.io/tx/0x698a23a4ce765835352e10b83e4e9ac14b396a6a4273b235a279f4233f8f9866</t>
  </si>
  <si>
    <t>https://ropsten.etherscan.io/tx/0xbc13717bae92cd0bbf046dd8cb37c6b6880ba45b3bd9118cbc1f6088e6ec2e40</t>
  </si>
  <si>
    <t>https://ropsten.etherscan.io/tx/0xf8d4335bce6a7fe61dcde330e47c7d4cd6080ee5a25051615fc9cd83f7efa06b</t>
  </si>
  <si>
    <t>https://ropsten.etherscan.io/tx/0x1ee4f684c0c8a683e3c63da7a3432db9628f9eaffa027a8b11ddb27ad12eec13</t>
  </si>
  <si>
    <t>https://ropsten.etherscan.io/tx/0x11ebd8358d8b450269dc4396022ccf07340f0a592c39b1640df4c8d0fde5d40d</t>
  </si>
  <si>
    <t>https://ropsten.etherscan.io/tx/0x2fa6fab5e8a9323df748c86ee2e37e9e369e676762ac26917178fbca1ea68e68</t>
  </si>
  <si>
    <t>https://ropsten.etherscan.io/tx/0x9876876edc458ce855d58b98a5bd13817cfbab2f64de8be3c4a55fb626bc62ae</t>
  </si>
  <si>
    <t>https://ropsten.etherscan.io/tx/0x09a59616aa1cc78b2ee3e61abe72c02793f678ac11325751b5b4daec8330bc2a</t>
  </si>
  <si>
    <t>https://ropsten.etherscan.io/tx/0x9a84add073c20f908af7301fcf2cd24893232c9506389e4f265be377d94b7df1</t>
  </si>
  <si>
    <t>https://ropsten.etherscan.io/tx/0x6bf9f6e45c48bd19af39efacedb0abed86b9beb8cc9eac9ed361cc8f77fcb78a</t>
  </si>
  <si>
    <t>https://ropsten.etherscan.io/tx/0xe1b483ed601b7cedfbae33187a0b560f2d8aa7b5175c2fc6ab0b9a4e84254ed3</t>
  </si>
  <si>
    <t>https://ropsten.etherscan.io/tx/0x2d7e41ba77751f2dcc0f767e5a0035741e7062d5b84affddfaed6435467a6b32</t>
  </si>
  <si>
    <t>https://ropsten.etherscan.io/tx/0xac8f73e44c6655c062753f29c1c2f3d6c0d48ae929f4c2363ff8ad8a2d4dfb9e</t>
  </si>
  <si>
    <t>https://ropsten.etherscan.io/tx/0xb47571bfd6b907471b72700ba56f6f52848f928cf691ed3dfb5661da30f52cd1</t>
  </si>
  <si>
    <t>https://ropsten.etherscan.io/tx/0x22e5b602e6071c4d28fc5e73beef5d088e60876c6071c2f2a66f958251995bdc</t>
  </si>
  <si>
    <t>https://ropsten.etherscan.io/tx/0x6c238e845da5c5e06634ae0a7798428baea3c415e5fb96a531e5bf58148b7cd2</t>
  </si>
  <si>
    <t>https://ropsten.etherscan.io/tx/0x7ad8f7963e0b01394e340e79e4f7b2402c6a64a7c6b5d06554a9c65cb55aac21</t>
  </si>
  <si>
    <t>https://ropsten.etherscan.io/tx/0xce06c75d680737af15bf3a11bc52ce7d07a26b1706c9f6c6919ea7a41c046b11</t>
  </si>
  <si>
    <t>https://ropsten.etherscan.io/tx/0x2f0a56e5078de7872e7bde0b31c6a8edb70449078f54c24018705a2ad43e60d9</t>
  </si>
  <si>
    <t>https://ropsten.etherscan.io/tx/0x6ed311df9977f3224a3b1b5455e0b205c74e861d005073a27b4b5e43cbeaaef9</t>
  </si>
  <si>
    <t>https://ropsten.etherscan.io/tx/0x61eb49b6a652b43b5707c371028ff0ef267a7e1a0cd36842c19cbf4d1137c667</t>
  </si>
  <si>
    <t>https://ropsten.etherscan.io/tx/0x434bc4fca7b0a7f88161b7a0776d2ebbb8fcfb92a7658a388dcaea0ca34306cf</t>
  </si>
  <si>
    <t>https://rinkeby.etherscan.io/tx/0xd487d9159002e2ec9f2e25f0b64a98c09a9736e29b925bd9adea4ff152c84c22</t>
  </si>
  <si>
    <t>https://rinkeby.etherscan.io/tx/0xbf91b3acd97984feb01f23e52541eb091553a3354d98bb58a4918723446accb3</t>
  </si>
  <si>
    <t>https://rinkeby.etherscan.io/tx/0xee7f86e97e131e1143399f3752446785da54dd5bd8d3060786817e7293107b54</t>
  </si>
  <si>
    <t>https://rinkeby.etherscan.io/tx/0x8fb63b69381f9bec43ee88152f6b904d438f23b0e794f416a983e90e273f0b7c</t>
  </si>
  <si>
    <t>https://rinkeby.etherscan.io/tx/0x43bbb2af756018e35182fc0952114be5728f35a6663a6eaa95dfe05935ef39d0</t>
  </si>
  <si>
    <t>https://rinkeby.etherscan.io/tx/0x311c43888532d205d088f5be6301531c58f32f04316aabc8308aecd764a6b781</t>
  </si>
  <si>
    <t>https://rinkeby.etherscan.io/tx/0x24b97cc50a406c4f81d6798d5f856c337cf31b060a0eb2df0f5ca49812a9359b</t>
  </si>
  <si>
    <t>https://rinkeby.etherscan.io/tx/0x1ebcfad5bea8d41edee8df45a910d4b07a50978eb29a0530a82e31a06ff73b70</t>
  </si>
  <si>
    <t>https://rinkeby.etherscan.io/tx/0x8856b2ecbc9527ce39922fd7182654e90d69702c5b90eb841b7faa6fd2b8ea16</t>
  </si>
  <si>
    <t>https://rinkeby.etherscan.io/tx/0xcdb330ac6efabcc8ac720418ed76f7f72fce218c58ba99e2e9632578484aae17</t>
  </si>
  <si>
    <t>https://rinkeby.etherscan.io/tx/0x9cb6bcbde727c5ffd40c6b9ee0fbe17825ec728b0a8cde0eb8ea78539eb1a87e</t>
  </si>
  <si>
    <t>https://rinkeby.etherscan.io/tx/0x1db216645a3c8e802840fb7a08522e38b3ffd3c0a02d12af40a8e1ba7de31051</t>
  </si>
  <si>
    <t>https://rinkeby.etherscan.io/tx/0xaae5267b0d07d7935ec56de90d45750319b8a24a06f0627d1df2b2e42f2d5ead</t>
  </si>
  <si>
    <t>https://rinkeby.etherscan.io/tx/0xf9070096f73a7133a44c8ce8e3988838ec747fc459024880712383447bda6ebd</t>
  </si>
  <si>
    <t>https://rinkeby.etherscan.io/tx/0x2567f2cc551d03085dc4c3fdfd5715efc139f559e8cae4d9a9cf67f4e780b74c</t>
  </si>
  <si>
    <t>https://rinkeby.etherscan.io/tx/0x7bfa9103b4746f3500f09d8766fa20514f483abf31d6878308c006a34b860a55</t>
  </si>
  <si>
    <t>https://rinkeby.etherscan.io/tx/0x9cc9a9649bde8a98985f1df8f0f9f655151ac3bc16f904f736a45bc6ad284ffb</t>
  </si>
  <si>
    <t>https://rinkeby.etherscan.io/tx/0xca0dca4ce8d1b8c960208b1d51c0c11a83caf441fb307ffec14839166b40d0eb</t>
  </si>
  <si>
    <t>https://rinkeby.etherscan.io/tx/0x73f914d66c44d247057db8a1dae5de0a8c006ff4646f6e766db41f2a852e87d7</t>
  </si>
  <si>
    <t>https://rinkeby.etherscan.io/tx/0x1fd1a37d027f870969760d41b552d34dfec616cc0bb8a62795f8fe960ee9fdef</t>
  </si>
  <si>
    <t>https://rinkeby.etherscan.io/tx/0x0867bb6f735550e88bf9ddadd036faf21c3e6b7337dea6002a3c2d83c97abe20</t>
  </si>
  <si>
    <t>https://rinkeby.etherscan.io/tx/0x5a67a81b39da6ea83dfde9be673e3cf673f1cb3ccc6bfe28f83409a01ce44a27</t>
  </si>
  <si>
    <t>https://rinkeby.etherscan.io/tx/0x7444109502c3e9b8728c4d7913563fad63e164ca13c93a2faeda6bb3773529ac</t>
  </si>
  <si>
    <t>https://rinkeby.etherscan.io/tx/0xd3cc793e224225445ac665bfa43c5eabc51378e4758cd880b8a01e52ac971bc5</t>
  </si>
  <si>
    <t>https://rinkeby.etherscan.io/tx/0xcb2c83ea5fe7c6453e725cd32c52018153a4ad7a267adcb1b83182a7894f0b6d</t>
  </si>
  <si>
    <t>https://rinkeby.etherscan.io/tx/0xd10833d8d5a75ee7dfc3cf4e24f1f05d5d67c99941c202f6bffb4e73513f3ec4</t>
  </si>
  <si>
    <t>https://rinkeby.etherscan.io/tx/0xbdfe8cfe4de4640a23c5e4a6c53f39f2a7ab2841922e2fad42af60dd83423ca3</t>
  </si>
  <si>
    <t>https://rinkeby.etherscan.io/tx/0x533ffd4f06bb31336eefbdea6f897a45b783c9191babc28ed6323017fed9f4c6</t>
  </si>
  <si>
    <t>https://rinkeby.etherscan.io/tx/0x9262ae809c11d099c380aaba4b4ac296237e0703bd5dde695154bb6add891b29</t>
  </si>
  <si>
    <t>https://rinkeby.etherscan.io/tx/0x80757ba4cffbaf3491ceb4aaf9c377ad5431443e43d5f016ce4a9cbeb5c6959e</t>
  </si>
  <si>
    <t>https://rinkeby.etherscan.io/tx/0xbbd2481d9f85a87a85160f7368fbf6e58aa12a401a376e5b9346eb06eb2033af</t>
  </si>
  <si>
    <t>https://rinkeby.etherscan.io/tx/0xa34231ceb43a90cd62572abd46bb6457cb5d938dd9ccbaaf8e1d3dfb8aa404f7</t>
  </si>
  <si>
    <t>https://rinkeby.etherscan.io/tx/0xfa13c9e6627c66c7866eade4f829daf57e5515f402348d6d5139fb573fca74d6</t>
  </si>
  <si>
    <t>https://rinkeby.etherscan.io/tx/0xba472eb3f25407a207dba495b21b81e34b65c957905582c8fbde0f149280009c</t>
  </si>
  <si>
    <t>https://rinkeby.etherscan.io/tx/0xd1d669c6b30383eac8bb0f199dd9580d2056f4c44811c677621c96d4bd2cabbc</t>
  </si>
  <si>
    <t>https://rinkeby.etherscan.io/tx/0x06d729b23e83814ad0b88aa74802e809b5886351855968358b44b0044fbb6c1b</t>
  </si>
  <si>
    <t>https://rinkeby.etherscan.io/tx/0xdbae936627cf6b39ae9968fce1977ea030612201ea7d8a149e317369343e0311</t>
  </si>
  <si>
    <t>https://rinkeby.etherscan.io/tx/0x8a1d5e67ee75d41b7311ccb6db8629ff2f2274a229a160bd58f98272d590a8a4</t>
  </si>
  <si>
    <t>https://rinkeby.etherscan.io/tx/0x46f26f136f968392a0f1ac7f77c225b95e5aa7ce315419922e51704d0964911b</t>
  </si>
  <si>
    <t>https://rinkeby.etherscan.io/tx/0x0a2c4071b7741cfa96524e29983bb549a7816dddfff6538426fbd5b261a21fe3</t>
  </si>
  <si>
    <t>https://rinkeby.etherscan.io/tx/0xed9f522dbc516d30303aea0357c215dcdc4b630c1febe05c058e990499912fb7</t>
  </si>
  <si>
    <t>https://rinkeby.etherscan.io/tx/0x6750133579d8359361a7ff3665341e31372c3b62ed137a7fb0649d91a9f8fa86</t>
  </si>
  <si>
    <t>https://rinkeby.etherscan.io/tx/0x49349c3509692036f4af73fe703de445102388822b6b75b0e1ed44357a4a5f33</t>
  </si>
  <si>
    <t>https://rinkeby.etherscan.io/tx/0x1e9a29daf3bd72ed667ffc0a32c3d19736a607cb238ee4fcb746580e716909f1</t>
  </si>
  <si>
    <t>https://rinkeby.etherscan.io/tx/0x188ce9e3bccc30cde90fcc223886df68bdc56507041f90e4c0c4a12b2c7e1cf2</t>
  </si>
  <si>
    <t>https://rinkeby.etherscan.io/tx/0x84f4bfd708a42534b7a8f05355288d1860683cdecea15a1ed5bb1d90a1a71484</t>
  </si>
  <si>
    <t>https://rinkeby.etherscan.io/tx/0x2c3866541a2a3eaf0503fe606cf32a8b536d1b5182dfe8c95c022aee98f152c8</t>
  </si>
  <si>
    <t>https://rinkeby.etherscan.io/tx/0x27c023f23993e18f3ee25ec2bf920dd67f68db548dc99cdbbdb3686e84241a8f</t>
  </si>
  <si>
    <t>https://rinkeby.etherscan.io/tx/0xb12b67fb3337b9aa7734d0e38ae13db6bdacc112fb422961d510ac16d42b479d</t>
  </si>
  <si>
    <t>https://rinkeby.etherscan.io/tx/0xfe3825a58dfe847ea244f15eacff88f5c7d437493b892a1bf710e8fe67f199c9</t>
  </si>
  <si>
    <t>https://rinkeby.etherscan.io/tx/0xabc237ff5891b1fedf9a1f1c74b407c2f14d81a25488253f37e660ad1932cb02</t>
  </si>
  <si>
    <t>https://rinkeby.etherscan.io/tx/0x96ffdf10d2a611e5e3b68cd9ae6dfe786035bdf678487e5d96a9089d27fa56aa</t>
  </si>
  <si>
    <t>https://rinkeby.etherscan.io/tx/0xada97b6846feaf0376457f3a25e51bbc1ee0081aa43b62a425fbe7fb25674007</t>
  </si>
  <si>
    <t>https://rinkeby.etherscan.io/tx/0x4f1966683d84116d78103419d460dfef21192e3571cf6d72804f4f70f2a8b92a</t>
  </si>
  <si>
    <t>https://rinkeby.etherscan.io/tx/0x20bd322b1a240ccfade20bfe0fe15decb7ea9d61c06da2e3f37903b01f3f9de3</t>
  </si>
  <si>
    <t>https://rinkeby.etherscan.io/tx/0x1fdd262fb0b2178fcccad176806d7b940eee34c2aec59c22488d1e1040f69f96</t>
  </si>
  <si>
    <t>https://rinkeby.etherscan.io/tx/0x79403522f8e53bad49f779faa6fc2a201915f576f84c3b76efb0c06f6e4fa31e</t>
  </si>
  <si>
    <t>https://rinkeby.etherscan.io/tx/0x47b2855b9988267f37f280ec590b0ea448f5a66c50c4cedfa1d40b56933b93d7</t>
  </si>
  <si>
    <t>https://rinkeby.etherscan.io/tx/0xbad321da8a36b327c91ac601f5f44c39b350cccc3b3d790a60f35ce44e114ba4</t>
  </si>
  <si>
    <t>https://rinkeby.etherscan.io/tx/0x0ab49e5ed2fcfd88c02ee02611538382df8b23c842a3907810209a0b149224e7</t>
  </si>
  <si>
    <t>https://rinkeby.etherscan.io/tx/0x57c552c51dd2f6d11156b16bbce94f7eb5e9740055f37833243687c78b3af5e9</t>
  </si>
  <si>
    <t>https://rinkeby.etherscan.io/tx/0xbf0306a34be3e7eb4e6018f4d8597293174b966ff658bbe9ddfa26c373fe66fb</t>
  </si>
  <si>
    <t>https://rinkeby.etherscan.io/tx/0x0a0921605db2b65a987abe395fd5726e1b421030845cd457d347c1de9a99f01e</t>
  </si>
  <si>
    <t>https://rinkeby.etherscan.io/tx/0x0acb54f71171a5b8d419fbe30338ef592d33f3f2c7e27f718010cbe74eb5620a</t>
  </si>
  <si>
    <t>https://rinkeby.etherscan.io/tx/0x3e6cedb375a1710bb1cd94777a44c20fec912b37e0eaebf289871755b7d73ee9</t>
  </si>
  <si>
    <t>https://rinkeby.etherscan.io/tx/0xa6cb6d472cdddd6e1e2a027258a9082c1c499f48a0b7cdf2f316bf466c47a355</t>
  </si>
  <si>
    <t>https://rinkeby.etherscan.io/tx/0x818b75a4ed06901dab527ddedbeaf87eb637736e9f95194032ada6baa28b6b4b</t>
  </si>
  <si>
    <t>https://rinkeby.etherscan.io/tx/0x4b902fe986fcca184ab8f4eae0a943b64a205e21f473a8a5e5226c0916ac2adc</t>
  </si>
  <si>
    <t>https://rinkeby.etherscan.io/tx/0xced2099b70ed5582c373e1f317a722cfb2f7fabfeddb18e3f9acaf9925c8c3f4</t>
  </si>
  <si>
    <t>https://rinkeby.etherscan.io/tx/0xc048817605cc2a42db0010b88f2ae911a061c55fa31e57d7e63eb2dc321152f7</t>
  </si>
  <si>
    <t>https://rinkeby.etherscan.io/tx/0x120125f0c82a07d152cea4a6a507560e83cc9b0cd4da94ceafb10ae47346189e</t>
  </si>
  <si>
    <t>https://rinkeby.etherscan.io/tx/0xaf267c78af4e0fc88dc25b06c422f4dd5a9bdffc2df326652a64804aa16a90ad</t>
  </si>
  <si>
    <t>https://rinkeby.etherscan.io/tx/0xbc755a25696104d8863b9e800fb36bd566547e9e4c41b4ce5bb73f4cc9d26962</t>
  </si>
  <si>
    <t>https://rinkeby.etherscan.io/tx/0xcd992787a0d622cfebbc38935975f5dbb204f1bcf6a4e8b77bccc7e4c5becfa7</t>
  </si>
  <si>
    <t>https://rinkeby.etherscan.io/tx/0xdf2c21201784efb4f1e17747fb7e266227f75b8276243d20943ad0a482cd903a</t>
  </si>
  <si>
    <t>https://rinkeby.etherscan.io/tx/0xaf6223e760d9d5a0d6f8a6232d38cd58cdb01d0e3d30b81de2a6f1f527e27b32</t>
  </si>
  <si>
    <t>https://rinkeby.etherscan.io/tx/0xe8bf7a14fbd042fd09ce14cdb8470f4fa01692ab7099f0b79fde4f46cb0165df</t>
  </si>
  <si>
    <t>https://rinkeby.etherscan.io/tx/0x8c77775d53ea4d05db4189c5e6b0a3032136fcb0911eaae023df80b0cc2dae38</t>
  </si>
  <si>
    <t>https://rinkeby.etherscan.io/tx/0x2d7fb462d1407b7ed118ec2bcf1cf2c311c49b51007f8cceb0ea0f14b5b63afa</t>
  </si>
  <si>
    <t>https://rinkeby.etherscan.io/tx/0x0c1fe3638fd90d3ec3db933ccfecee1c2fffd92798bc417ebdfd625ffbe14b6b</t>
  </si>
  <si>
    <t>https://rinkeby.etherscan.io/tx/0x53c0246a726bc45c68db562f14de001caab7df1ab465554596999581261abc4b</t>
  </si>
  <si>
    <t>https://rinkeby.etherscan.io/tx/0xa6bfc9dbc61a30746e59b28cf31fea5b3cc3b3b6c4838b5d054f1cb9a2c178ca</t>
  </si>
  <si>
    <t>https://rinkeby.etherscan.io/tx/0x997844696004e52b12f40bba5f4cb99d050719ca7712ed604f358fe9a616dfc9</t>
  </si>
  <si>
    <t>https://rinkeby.etherscan.io/tx/0x86dde49b16efb37238b199d0d0e4d427e7bd3bcb06d9343b4454e3e273f1c70a</t>
  </si>
  <si>
    <t>https://rinkeby.etherscan.io/tx/0x0e4fb0c462cac83f7c19b2378f4cab006b0b1390cae65c4dc88a4b1d1c3e506d</t>
  </si>
  <si>
    <t>https://rinkeby.etherscan.io/tx/0xe377c33047d6b6890f186dc395120a9f3770967ae92e6c73c2b9ecd794997103</t>
  </si>
  <si>
    <t>https://rinkeby.etherscan.io/tx/0xbe301e9eeb7cda299a1f335b0231dd354f271f5b2494a7ea7b5fd91b9cd917d5</t>
  </si>
  <si>
    <t>https://rinkeby.etherscan.io/tx/0x33fb5f35ee4503991e6f599d4267e30be63e63d66add401fbc54726d78941843</t>
  </si>
  <si>
    <t>https://rinkeby.etherscan.io/tx/0xc7d41f7c89a92241018491183dadaeadd661f18ea92928a0dde2dfdabdd4a459</t>
  </si>
  <si>
    <t>https://rinkeby.etherscan.io/tx/0x4d4bdbc0d4ff4fe915a5e70b2f955f2593e1f87ad4d3e359b8a92feb8a5757b8</t>
  </si>
  <si>
    <t>https://rinkeby.etherscan.io/tx/0x1f1e2ac651945d1044b9ff2050e4e2fbf78049d31c0084b4d50564be5a03de7c</t>
  </si>
  <si>
    <t>https://rinkeby.etherscan.io/tx/0xb5249103bc044a0dd3e5d988508ffc04b76a69932404658e16770a045beb583b</t>
  </si>
  <si>
    <t>https://rinkeby.etherscan.io/tx/0xf31a48fc62e5fe0bfc59135c7716b329b77a74e8fb30e522e0349fc24d727f81</t>
  </si>
  <si>
    <t>https://rinkeby.etherscan.io/tx/0xb5f78d5e3e188642c344223af2ccec2536256d20ca9bf1c226b32cf3f35502e7</t>
  </si>
  <si>
    <t>https://rinkeby.etherscan.io/tx/0xca8f9673c40bfac91d230e6bc74c3f3e1f861cee4cd628ba92aa02a5db92feb8</t>
  </si>
  <si>
    <t>https://rinkeby.etherscan.io/tx/0x10963f4d271c96ed0bfbff53cfaeb0ff0401d0e6f2fadaab37261fed04da404f</t>
  </si>
  <si>
    <t>https://rinkeby.etherscan.io/tx/0xe0f33152931441e305579160615b94f80b50971be37b9cccbb2e9f5dcf79b056</t>
  </si>
  <si>
    <t>https://rinkeby.etherscan.io/tx/0x20caf72de7df1a523e75034c58c822ded45642feffc94bf071081f68dbdb12ba</t>
  </si>
  <si>
    <t>https://rinkeby.etherscan.io/tx/0xee0400a31434021a06d5e417538a883bcbc2e5dea94b496f5f8e0361d4e5546e</t>
  </si>
  <si>
    <t>https://rinkeby.etherscan.io/tx/0x1fd50b36bca9431e42324986364d16bcf6f9784fc9d321dc700c77f7abbcac46</t>
  </si>
  <si>
    <t>https://rinkeby.etherscan.io/tx/0x22ef68bced3252fc98771a980556081795f891417b03e8ed94a017b0a88fe47b</t>
  </si>
  <si>
    <t>https://rinkeby.etherscan.io/tx/0xce094f65960b2325267110c6850631f20153ad63469b9a9d60ab588e39b0c260</t>
  </si>
  <si>
    <t>https://rinkeby.etherscan.io/tx/0xdf81e90a74bf38d1407650b570b75f359de77cd2ffbbceb307a2b60855bd9d8f</t>
  </si>
  <si>
    <t>https://rinkeby.etherscan.io/tx/0xa844bf022960029800de989a11601a09f6ceb4fbbd121c798e34728d59000595</t>
  </si>
  <si>
    <t>https://rinkeby.etherscan.io/tx/0x00a73cff6c3a019f3060190d9b5911ffdf913cc315d723c3745850eae83dc0da</t>
  </si>
  <si>
    <t>https://rinkeby.etherscan.io/tx/0xbdd07b9075b651d9faf9396b249104680971b362e7f61e4383aa508d69359ae4</t>
  </si>
  <si>
    <t>https://rinkeby.etherscan.io/tx/0x5a6cc0a2c609933e8c84bfb99dc83416a29ab43fdcb57f48337ccbd8f8e4e323</t>
  </si>
  <si>
    <t>https://rinkeby.etherscan.io/tx/0x6f2b13f9a8a74d465e89b20d60ad2893c6fc8849c21578e5da27b1f376c3b603</t>
  </si>
  <si>
    <t>https://rinkeby.etherscan.io/tx/0x5d96554b91a47077fbd01582b8b4541c9ff881b88384552dfac33a6311b3585f</t>
  </si>
  <si>
    <t>https://rinkeby.etherscan.io/tx/0x9110b654764158431892adb9f43ca3d9b0a214b34b0755916f94239626aac881</t>
  </si>
  <si>
    <t>https://rinkeby.etherscan.io/tx/0x05a638b8d013b3a28407c562104b6090394b8695ecea98befb2e9b1d46ba6f70</t>
  </si>
  <si>
    <t>https://rinkeby.etherscan.io/tx/0x73b26322a060077810b152e15a73c41254cff76b780c5cefd158eec6504f7889</t>
  </si>
  <si>
    <t>https://rinkeby.etherscan.io/tx/0xc28a6bf9cd33a865b374a7946958c8022d309e7ff762a17b9d0450d7e0473228</t>
  </si>
  <si>
    <t>https://rinkeby.etherscan.io/tx/0xa0f29cbac7c9b02b5bdd54d51f603aabd357a645287637677de382ee46133b20</t>
  </si>
  <si>
    <t>https://rinkeby.etherscan.io/tx/0xf1bc8874d16ed02b3ca7994159d4b7619868d492be835d5d071a6861f547cfc2</t>
  </si>
  <si>
    <t>https://rinkeby.etherscan.io/tx/0x42bce833296990d39efe230580684df152812a369eac0878827c75c9eb970fc6</t>
  </si>
  <si>
    <t>https://rinkeby.etherscan.io/tx/0xd3882cc43d7048ec00292f2a1527b317de93d20da633f86c04595a8e76df1505</t>
  </si>
  <si>
    <t>https://rinkeby.etherscan.io/tx/0x826885686f7ef1c100f11d36422d2ef593d2d312f7607db7f091e9fa69145c64</t>
  </si>
  <si>
    <t>https://rinkeby.etherscan.io/tx/0x9cdd61b7e63f3007e8a79458c74b514745a552693ff7f11dde4fe4b0aa8aff23</t>
  </si>
  <si>
    <t>https://rinkeby.etherscan.io/tx/0x4e85a58c4e3a136343f2ffb21ee7782d0d3e74a9c385625d963521f98e1523e9</t>
  </si>
  <si>
    <t>https://rinkeby.etherscan.io/tx/0xdc11a6caf539e5da31b25daf23cdca337a1b275a5f39d66cc223b993e9603950</t>
  </si>
  <si>
    <t>https://rinkeby.etherscan.io/tx/0x98064f57e37fceb3c028fffcc92c0c6de846eb56cb7264eed2924085be1bd56a</t>
  </si>
  <si>
    <t>https://rinkeby.etherscan.io/tx/0x92dc8a521b801044ab83ccc3c002e8d496dd797716897582ab61146c75419459</t>
  </si>
  <si>
    <t>https://rinkeby.etherscan.io/tx/0xfb3cd176b9856c4013e4dc10d48baa600d6c40ec54040e1e7172fcec26fe8377</t>
  </si>
  <si>
    <t>https://rinkeby.etherscan.io/tx/0x8eb8ff35f7eaaebad744289eed8017016ff4df46aadbf02e75d3ecfe4f60e626</t>
  </si>
  <si>
    <t>https://rinkeby.etherscan.io/tx/0x58f7fa7640e8b20ac3d471fb651071d554c2190fa2c56823a91498c9450141c4</t>
  </si>
  <si>
    <t>https://rinkeby.etherscan.io/tx/0x1af6a81ef24affc1a807f23f3f04f0852af61e5a718e50e4ac88afbe0b1c3215</t>
  </si>
  <si>
    <t>https://rinkeby.etherscan.io/tx/0x2a89231d67e4c8b778a0b14ac6522a3274e48cecd90d1919981c303429459b08</t>
  </si>
  <si>
    <t>https://rinkeby.etherscan.io/tx/0xd54115fda7a156970869a7f19631eece754cbd18ab06b940fea67894c2430b8c</t>
  </si>
  <si>
    <t>https://rinkeby.etherscan.io/tx/0x8b1f37b073c4a936b64c27dec8342f53805c6db1d56afc0811873bfb6678ff62</t>
  </si>
  <si>
    <t>https://rinkeby.etherscan.io/tx/0xa196f76e5962b6e479bfd14a6a9dd82d6236a76395207ee78616c27ec54cd7dd</t>
  </si>
  <si>
    <t>https://rinkeby.etherscan.io/tx/0xe7d83df1be81de3ccf52b5e0b937cf09d58e4d7c1ac50715482d2e9f0b64728c</t>
  </si>
  <si>
    <t>https://rinkeby.etherscan.io/tx/0xd91640b8dfc7052052cc3a2f1cb4cc6d42c6ab69ed5a0f23eb7999a1e5809a8c</t>
  </si>
  <si>
    <t>https://rinkeby.etherscan.io/tx/0x2ab9b78e98a36e2fc384e2b7c3ab38d58f773772233c6d6bbb8251cdf3dd3986</t>
  </si>
  <si>
    <t>https://rinkeby.etherscan.io/tx/0xe9e6728b83736f6c2eddc3c6be894ee2885b8360e0c62ebc22aa914cbb30cf41</t>
  </si>
  <si>
    <t>https://rinkeby.etherscan.io/tx/0xa3a197964b64dd2e499055f2a589e808a1bbef416bf5fa4906d40864ca3b9fe3</t>
  </si>
  <si>
    <t>https://rinkeby.etherscan.io/tx/0xe4d247ba12cd6df2800f57c463e5952fcc54bbabc6c7af3f3814d12a91355a5d</t>
  </si>
  <si>
    <t>https://rinkeby.etherscan.io/tx/0x863307f285ceec0176a17119c37b2eb191cbbe40783f24e34e0c90de2aee441c</t>
  </si>
  <si>
    <t>https://rinkeby.etherscan.io/tx/0x39ea607026dc89b6a6bb8cd160d64e6cc2bb9117f576edfe404ab4eacc8697ff</t>
  </si>
  <si>
    <t>https://rinkeby.etherscan.io/tx/0xc4f0d6e3f78eb75b5a224b3a9efa0899be43e9b9b7f0439d4054b7601861ea57</t>
  </si>
  <si>
    <t>https://rinkeby.etherscan.io/tx/0x1a12c437b67c2df4f3e2e117aa35d072d52b47ae207d46755f1468428d325e94</t>
  </si>
  <si>
    <t>https://rinkeby.etherscan.io/tx/0xe55b7d8bc5c408627abde9c43de38f0fb7e9545d4304185516b53ed195518051</t>
  </si>
  <si>
    <t>https://rinkeby.etherscan.io/tx/0xda99722200e011fd4b662f11a2eab5c67d2f054572305d11ed2c15e1a9472725</t>
  </si>
  <si>
    <t>https://rinkeby.etherscan.io/tx/0xe24b14fa1fd2d8d5bde17cdaf3076a721048db8e382fff6d6ff39c86c5196107</t>
  </si>
  <si>
    <t>https://rinkeby.etherscan.io/tx/0xb7da7dec95d878ef00a88856711ec2f7bf68d9add2f1c14c4e02d30fe9b58d02</t>
  </si>
  <si>
    <t>https://rinkeby.etherscan.io/tx/0xbfe8741ff2062246d5683bf6555babc351990f58a7d40f445a63dc9e087feadf</t>
  </si>
  <si>
    <t>https://rinkeby.etherscan.io/tx/0x94712add275aa372baaca7af8880c57ea11f2addaeca662ea9138ba146eca9af</t>
  </si>
  <si>
    <t>https://rinkeby.etherscan.io/tx/0xab79bd91d41b202da317808d347659c8762b4258ba0047ac70bb04f20fbce1cf</t>
  </si>
  <si>
    <t>https://rinkeby.etherscan.io/tx/0xf9e6a15f82a02fd39edc61da340b50629089722322dcd4904217865168118064</t>
  </si>
  <si>
    <t>https://rinkeby.etherscan.io/tx/0xf2b26e31833939ba2920b8205791a316a41e0d13256b3893860ee2d1b997d166</t>
  </si>
  <si>
    <t>https://rinkeby.etherscan.io/tx/0x79a3b5a8ee43d1873c4f51c82c6dbb013a0bc98692b760dc69e0eb8020b72e0e</t>
  </si>
  <si>
    <t>https://rinkeby.etherscan.io/tx/0xa20b33d4838bbf0993672c2ff04cdcbbdfe648fac9482cbe6661a6e5ccb234a5</t>
  </si>
  <si>
    <t>https://rinkeby.etherscan.io/tx/0x6b35e70a1311286c783e492d760e42975d3dc2558ec0b815375f00c296bce038</t>
  </si>
  <si>
    <t>https://rinkeby.etherscan.io/tx/0x49a7b4b628ba3d5580e71429d9ea4daf8487598f193a91c2b2b195983d792aeb</t>
  </si>
  <si>
    <t>https://rinkeby.etherscan.io/tx/0x0689e94f92be50ad82717fdba53ae7b311c1e6ecc96619e018f377f5ce2be0e7</t>
  </si>
  <si>
    <t>https://rinkeby.etherscan.io/tx/0x66aec8b213e0c1e33e4c568545d7bfe770d30604dd5aa6c8582b7c56abd2672b</t>
  </si>
  <si>
    <t>https://rinkeby.etherscan.io/tx/0x4e10434c95dbd26e474cf5401e89f1d8670d4708979d109c7572c5f73b31b274</t>
  </si>
  <si>
    <t>https://rinkeby.etherscan.io/tx/0xb4459268f102c9d2b3e29a170958a75da2d48f48ee3b185abc49b1d91e20a422</t>
  </si>
  <si>
    <t>https://rinkeby.etherscan.io/tx/0x6469ae143bf1e9c66ae06d44bf0b1e75def447def1e47665f6b671a2869f2f08</t>
  </si>
  <si>
    <t>https://rinkeby.etherscan.io/tx/0xeb4d924566fc1fbb893b7d0618791f5a827166aaf928f99d5c84ea6099e2e723</t>
  </si>
  <si>
    <t>https://rinkeby.etherscan.io/tx/0x1285f2eba4f17cd5937d188da297e921d487bc8ae67347291c765fb1788b706d</t>
  </si>
  <si>
    <t>https://rinkeby.etherscan.io/tx/0x3afcb2e3d90007114b58ca631913e7f517daa9e2042205eb1b2f073ed385e0f9</t>
  </si>
  <si>
    <t>https://rinkeby.etherscan.io/tx/0xf390339279051bfaa6d693eae43e9895353900dc5e1fdc327e5a541c258430c2</t>
  </si>
  <si>
    <t>https://rinkeby.etherscan.io/tx/0x7c41aceccc8427faf22dd04b7768ba923f41fdeb280d6994a44b6c81c36d0805</t>
  </si>
  <si>
    <t>https://rinkeby.etherscan.io/tx/0x2aaac53babb500034d9f78459370e7c17b87359aae6811062494cc0a89c1a8db</t>
  </si>
  <si>
    <t>https://rinkeby.etherscan.io/tx/0x2e9835731c766362f778b8ada9e35b1d0f815b1ebfceed019f2d24be51cc650f</t>
  </si>
  <si>
    <t>https://rinkeby.etherscan.io/tx/0x6ab8cfa644818132901a440d0567ff6683b7b46c6fac67f2f67a1004a76a9085</t>
  </si>
  <si>
    <t>https://rinkeby.etherscan.io/tx/0x93db1dabe16bd94dce6263778d00064c233e430904d374f5dc28e996701ce905</t>
  </si>
  <si>
    <t>https://rinkeby.etherscan.io/tx/0x6053f0f9421d949123ae9561854944b73f90c3d3408ec85ef1b95083b7815dfe</t>
  </si>
  <si>
    <t>https://rinkeby.etherscan.io/tx/0xaded26e2547a3b742356f66783071a94dc85f4837894159605ce4da500ae568a</t>
  </si>
  <si>
    <t>https://rinkeby.etherscan.io/tx/0x5652a63f213842dc10233e8e9b40896a053f09ae3393438350341e5965679cee</t>
  </si>
  <si>
    <t>https://rinkeby.etherscan.io/tx/0x9447238bbf0f56c2f4b8d7c0805e09cba28736895142fc58de3ca68e61d82835</t>
  </si>
  <si>
    <t>https://rinkeby.etherscan.io/tx/0xa66493c3278f14ca1c2f3a5028cf4734d27719e01f32be961caf0685e585e634</t>
  </si>
  <si>
    <t>https://rinkeby.etherscan.io/tx/0x19cbccd5ffa9894c749ae6e01bdf2923cd39a423da40a1aa919c1ea4a92c3d65</t>
  </si>
  <si>
    <t>https://rinkeby.etherscan.io/tx/0x943e5ab1fef40330480d6086fcfbe0d468c90f7096677e8b07c27e5d2164d854</t>
  </si>
  <si>
    <t>https://rinkeby.etherscan.io/tx/0x4109b6a7344c159de008f2b1e9692fca82f279fedafce8cfd9d1397f821c8dda</t>
  </si>
  <si>
    <t>https://rinkeby.etherscan.io/tx/0x5971a4f9e7fd6bb4045630986110fc8790ed0e19d7169bf0b2be9fe63cb34463</t>
  </si>
  <si>
    <t>https://rinkeby.etherscan.io/tx/0xcae213824af3432bcdeb1d21775c9d914f24416508c6d7ce575e9a27f7152264</t>
  </si>
  <si>
    <t>https://rinkeby.etherscan.io/tx/0x82842ee4d4708138d7ddbdf77793a39fb69ecfccf09d204780d53070e63270a3</t>
  </si>
  <si>
    <t>https://rinkeby.etherscan.io/tx/0x0364b5b536485a15c4e6b3a93da8e35ab10913bd828e31a4f09d88c386879642</t>
  </si>
  <si>
    <t>https://rinkeby.etherscan.io/tx/0xdfd02b7c288538a640ea5982f781ef94c51d17261c7c2951c3d6cea97c23284d</t>
  </si>
  <si>
    <t>https://rinkeby.etherscan.io/tx/0xa7381543ed5f3fa2cdae3dcd3b208e9951e45ad6957a8aaefecf048a2a8c81ab</t>
  </si>
  <si>
    <t>https://rinkeby.etherscan.io/tx/0x9e08d90dc2b2e3e4889c7010cc884c3043342d0a398a97e6dcff40e38b8f1188</t>
  </si>
  <si>
    <t>https://rinkeby.etherscan.io/tx/0xd4208987c25d0f475dc190d2c92aae9930bbf8bae0941c052678b5b21c1087b2</t>
  </si>
  <si>
    <t>https://rinkeby.etherscan.io/tx/0x8ec4c6bfcb9671fa34fef852940130ab6b570cc7a8a398ec112b7da93b5479e9</t>
  </si>
  <si>
    <t>https://rinkeby.etherscan.io/tx/0xd575c09b1644068e8d704514edfcf2c3cf22a283a6179f79d19d9f9bfb601a16</t>
  </si>
  <si>
    <t>https://rinkeby.etherscan.io/tx/0xf55cfd39a62a6cac471fdc3393820afd03f01c16c212627b1599d57fe294aa88</t>
  </si>
  <si>
    <t>https://rinkeby.etherscan.io/tx/0xd75277dcda7f13647e9068dc136dd082d73ef9116f6ec78b4422b0bf94119e6e</t>
  </si>
  <si>
    <t>https://rinkeby.etherscan.io/tx/0x1859973d31249093d27d31122ba0c9676ed96f88de2e81e89d0ed8fc0046a86d</t>
  </si>
  <si>
    <t>https://rinkeby.etherscan.io/tx/0x6a1873f14a5f890b368a76edcfbddc94381a97ad9e6895f5dd721bcacbb0d2f4</t>
  </si>
  <si>
    <t>https://rinkeby.etherscan.io/tx/0x4e8d6b955c2956c3d619730d470ec563ea2f80407bdf226cd72fc80cbf97235a</t>
  </si>
  <si>
    <t>https://rinkeby.etherscan.io/tx/0x6ee6586dbd93d75e92fd3d849ce1fc9059d41b6dd955f4959d26318814e80227</t>
  </si>
  <si>
    <t>https://rinkeby.etherscan.io/tx/0x9561e3be8f315fed6f657e3efc26b67b16b7e7a58a9960512caa4771f7352444</t>
  </si>
  <si>
    <t>https://rinkeby.etherscan.io/tx/0xc447ad627e8ce0c80cfdb2d079c42cff403a1695c4b8821e305523353540a2f5</t>
  </si>
  <si>
    <t>https://rinkeby.etherscan.io/tx/0xee2f6d1910ab00f6446652323163abf3bd6bd2cedbd81d6a50a8a0612c7bc83a</t>
  </si>
  <si>
    <t>https://rinkeby.etherscan.io/tx/0xb8ad669006847253a6b965360cfc481e1c8dbf228eec2cc6f6a3c8a681be3859</t>
  </si>
  <si>
    <t>https://rinkeby.etherscan.io/tx/0x41edd34540db6fb7fbc3fc22e83f99f857b3dbc85e4e6049cd62a7cc54f37ab7</t>
  </si>
  <si>
    <t>https://rinkeby.etherscan.io/tx/0x5fd2f1870a2b0fe726759325056bf9d891d981b00a424447ef59afadf7edfb0a</t>
  </si>
  <si>
    <t>https://rinkeby.etherscan.io/tx/0x09311545c6d01eb1d4189a4b1e972d253a29a34b24cbe4c74ecc7c607f84c37d</t>
  </si>
  <si>
    <t>https://rinkeby.etherscan.io/tx/0xb1ae66cc88b17ccaddbe681be68dd226d5d18276dc6d29b332c8c10a0a30de57</t>
  </si>
  <si>
    <t>https://rinkeby.etherscan.io/tx/0x013becbdcf3f07021f7c2068c2bd295704dbc9a05375f4d933e5d4789904877f</t>
  </si>
  <si>
    <t>https://rinkeby.etherscan.io/tx/0x29849d59d34a63a533d6c1dcc44362043beb8b8b92ac7a56e93aa5149e5e6234</t>
  </si>
  <si>
    <t>https://rinkeby.etherscan.io/tx/0xafd74c8585bdc181f715f09e067052f0850b863e4629c03d1feada9d94b61a86</t>
  </si>
  <si>
    <t>https://rinkeby.etherscan.io/tx/0x108fdbaacea102bff8206651e68c8d4af4b9d5e6b2002c1589b93f1ecabb82f3</t>
  </si>
  <si>
    <t>https://rinkeby.etherscan.io/tx/0xa55c528a7f9d8e51c740a044f657b053cccc073938831910feb8c72417da20a5</t>
  </si>
  <si>
    <t>https://rinkeby.etherscan.io/tx/0x883ad4e9d284e1edcc8a7e72f0809d6ee61f33c3f7112999b250806788674f3b</t>
  </si>
  <si>
    <t>https://rinkeby.etherscan.io/tx/0xd2e21be5c1791b63915f2a52282caf01abe0d904810eec4a1a7335cf038e58ec</t>
  </si>
  <si>
    <t>https://rinkeby.etherscan.io/tx/0xecd5cc4a3ae192d2652105ead9d6fc94da20d41e9e86cc0f26fbc031b859f766</t>
  </si>
  <si>
    <t>https://rinkeby.etherscan.io/tx/0xa7c1853f940b83e1d7265917f5018cf8db8f05df58de580f92bba9ce98d9e0dd</t>
  </si>
  <si>
    <t>https://rinkeby.etherscan.io/tx/0xeeb34613f4a277c77ad1e84e1cb74ee0439f00da61532e9e65d538d65679f59f</t>
  </si>
  <si>
    <t>https://rinkeby.etherscan.io/tx/0x59e16a8a3fcae97c7c6a6152d28fd4ea4c0a318bcb95d5f3103389fc70ddf284</t>
  </si>
  <si>
    <t>https://rinkeby.etherscan.io/tx/0xbb9d57d9747ba2dfb813f7b62cd84632a3a81d78d31a3e436acb76874bda6753</t>
  </si>
  <si>
    <t>https://rinkeby.etherscan.io/tx/0xa77e7f958f463e73f10e8cc4de22d54887dbfb53943685af1b94fa7b5ad56198</t>
  </si>
  <si>
    <t>https://rinkeby.etherscan.io/tx/0xf4db5608156c6598526b08f406523c95a90c01e45d5817fd101549e99ae02ceb</t>
  </si>
  <si>
    <t>https://rinkeby.etherscan.io/tx/0x2e759c652bb6f29a3dc904b9dbdd6f5266714140543f2687d0a4814ab89be08e</t>
  </si>
  <si>
    <t>https://rinkeby.etherscan.io/tx/0xb6be300337eaf2e866429959d3c7635aa31132ec8cd74cd478a7645abca4095a</t>
  </si>
  <si>
    <t>https://rinkeby.etherscan.io/tx/0x86cb7f54a6717ab796c46424e550741b58f423741c47c25be41ad385032018e4</t>
  </si>
  <si>
    <t>https://rinkeby.etherscan.io/tx/0x6f40238567223063d80858b525ba002c350bcb34926c20dceb7a6ed6d4af0ca2</t>
  </si>
  <si>
    <t>https://rinkeby.etherscan.io/tx/0xaf68c61d4a0abd046e2032e82c6eb7defb2d2c31c29e4506dc1927df442928b4</t>
  </si>
  <si>
    <t>https://rinkeby.etherscan.io/tx/0x954a41da720872e85b8d5990b5bcd5fc762369ce2fa843d04f6a06f535304e00</t>
  </si>
  <si>
    <t>https://rinkeby.etherscan.io/tx/0x4f1ab376634c7c423162490e90b436db20091aa4ec29eac163379287e39e372b</t>
  </si>
  <si>
    <t>https://rinkeby.etherscan.io/tx/0xde262fc53b62395a36a088453ff57c027a42b77f458510d64c072c21bbf61375</t>
  </si>
  <si>
    <t>https://rinkeby.etherscan.io/tx/0x0a966227045c87bc8c861cb5ad94505042c4788e57593a7038414471ca8e18da</t>
  </si>
  <si>
    <t>https://rinkeby.etherscan.io/tx/0xc6bf2ccd4949fa17afa260c7f384061ec3cb98a7bdf31925f8a2ee1e32899bac</t>
  </si>
  <si>
    <t>https://rinkeby.etherscan.io/tx/0x46e643192d2e9a4b93c183edff7ad30bd0e6c684190068443ce5e21696aa3216</t>
  </si>
  <si>
    <t>https://rinkeby.etherscan.io/tx/0xc8e1a07bbb144b07c7513d21406a2a7c664bce15964ed54f4fab4b395338f0a1</t>
  </si>
  <si>
    <t>https://rinkeby.etherscan.io/tx/0x41f284ba4908ba4612a7fe735eac50667bee2e9008154827f83404a11a1372aa</t>
  </si>
  <si>
    <t>https://rinkeby.etherscan.io/tx/0xfc93597d0ce9630ffef6d69072dd7fa73cfb412388809f29e6ec87161f560ff5</t>
  </si>
  <si>
    <t>https://rinkeby.etherscan.io/tx/0xc105d9d1bdecdbea37d9ef8f40cfdde9d6557847d90f291eed8c92165d638b03</t>
  </si>
  <si>
    <t>https://rinkeby.etherscan.io/tx/0x30f5008dd0584c06ef27784ce3b1f62ba7ef83d0fc67934f446e02eef06810a6</t>
  </si>
  <si>
    <t>https://rinkeby.etherscan.io/tx/0xb8e28263e667eb4a1360224c4cf21f1f753d8c4303626261cb6d77c2aaa6f3da</t>
  </si>
  <si>
    <t>https://rinkeby.etherscan.io/tx/0x4ee33142bfbff5b48d842be8a541b4997fd82d67bf8f4b64e68d31bba4995310</t>
  </si>
  <si>
    <t>https://rinkeby.etherscan.io/tx/0x3f06cef1fd20ce2ce9c6fdd1352c910f4aa23ae618cb88408a4eb4332f3a77cf</t>
  </si>
  <si>
    <t>https://rinkeby.etherscan.io/tx/0x13cb40b51f9adf0c32e4d850e9fe0d61a9a287a4f5b316357d91749a63161ce8</t>
  </si>
  <si>
    <t>https://rinkeby.etherscan.io/tx/0x75d189818cfcd96405253efb0522f2eb1f8354adc9a311c29a69566ac3a67e34</t>
  </si>
  <si>
    <t>https://rinkeby.etherscan.io/tx/0x2f58f25040169fc951b72c557bbe0977804cabd4d08b536b8554b179122eddf4</t>
  </si>
  <si>
    <t>https://rinkeby.etherscan.io/tx/0x3df8bb2abb92184e818fa11d59f3fbd9713b98b67c6932f8be132331053669d9</t>
  </si>
  <si>
    <t>https://rinkeby.etherscan.io/tx/0x9f79ebf52bcbfebedc039add17fd1f697196fbf5b0f1945cfe364ab26a4e1159</t>
  </si>
  <si>
    <t>https://rinkeby.etherscan.io/tx/0x13075e03938aa4ec7d80e8fc054623bd55cfc6fbc16bc96927cafa1b73d5618c</t>
  </si>
  <si>
    <t>https://rinkeby.etherscan.io/tx/0x14a2a07c78bad78648667a680f335852dc96fe4ae6a78daee9b63cda896e23e4</t>
  </si>
  <si>
    <t>https://rinkeby.etherscan.io/tx/0x7f86157ff97222e03fb996ec1dfd3db5376476e68b5e7a7ddb7906afa9ad25b5</t>
  </si>
  <si>
    <t>https://rinkeby.etherscan.io/tx/0x7fc6fe53bbe27465f1c8c0f1d13df986c8b524b2bc0f15c03ff7a23188ac933a</t>
  </si>
  <si>
    <t>https://ropsten.etherscan.io/tx/0x5b041d3b74ceacd9de2382c76f1800eb9ce4429b6c0dd0e9b0b5754f7e92f06e</t>
  </si>
  <si>
    <t>https://ropsten.etherscan.io/tx/0x52d3e231322b76c1140551d324f66690c016410da4260b4150df247f968aa829</t>
  </si>
  <si>
    <t>https://ropsten.etherscan.io/tx/0x32782a21c942df52ef29a85533eed0e2e5072a6b40f600b309644b6e69b4f109</t>
  </si>
  <si>
    <t>https://ropsten.etherscan.io/tx/0xbe929d0619a7fb7d6db7680d949549606f0a56c3bb5be7122449de621bf0e5b6</t>
  </si>
  <si>
    <t>https://ropsten.etherscan.io/tx/0x57ce724f61e95959cef3c5e4f9e83711fe975a0473a1f0febf6732936fc1accb</t>
  </si>
  <si>
    <t>https://ropsten.etherscan.io/tx/0xf701cf44a46372e62c5161a9f223282b432d5e8e4b4fdb40aa79cd6ff33bcdd5</t>
  </si>
  <si>
    <t>https://ropsten.etherscan.io/tx/0x20f65b41a7d0ac0dd2756b2ef0f3b6252a41ff7302f6d42b989bff275d34b389</t>
  </si>
  <si>
    <t>https://ropsten.etherscan.io/tx/0x6924d987c4cde62daacf7117819bd8b5e4ff55576314299a60f45edb47952132</t>
  </si>
  <si>
    <t>https://ropsten.etherscan.io/tx/0xa5d340114cec4ec38b547efcbd379eaeda3d7c7c70ab5dff7002a5460bec7745</t>
  </si>
  <si>
    <t>https://ropsten.etherscan.io/tx/0xc31fb17d2d1afbc3685f418cfe0159037adba765a7613c8be821b9331908c600</t>
  </si>
  <si>
    <t>https://ropsten.etherscan.io/tx/0xd80ed261388420e0912608a8e1dbf64296ad7b2337e48fd1cdbd8f354ea327c0</t>
  </si>
  <si>
    <t>https://ropsten.etherscan.io/tx/0xd53fba98487ffdf8be3c011950041b813f14125e000fef2f30fa9e9b3f8818f4</t>
  </si>
  <si>
    <t>https://ropsten.etherscan.io/tx/0x60a00eeef859c970ee6b232723250e0a2b279886d8f72bcc84d6053a41eeb2d0</t>
  </si>
  <si>
    <t>https://ropsten.etherscan.io/tx/0x36b962e7b6042855c46e8f68e70a9d9a2fb38d828760008ee9ab5133a3b6b30f</t>
  </si>
  <si>
    <t>https://ropsten.etherscan.io/tx/0xc8aad9fd88161297bf524b55997c2dd2b1bb025785961f711bba6bf3ef4957ef</t>
  </si>
  <si>
    <t>https://ropsten.etherscan.io/tx/0xd00205d0f820eaaf3d8e514853bdd64411a42fd1f951b7377c458e6e7d9d1419</t>
  </si>
  <si>
    <t>https://ropsten.etherscan.io/tx/0x0b056a585da776c78ea11010fecf861dd52e1c217d3d07ed94e6beb167f9be54</t>
  </si>
  <si>
    <t>https://ropsten.etherscan.io/tx/0x416de92353e79753be70c2c994496c182e37ca2fdf4609b0efddf17465553372</t>
  </si>
  <si>
    <t>https://ropsten.etherscan.io/tx/0x1889d2ad2f2d4050f1ceecdb3c4ba36c00de69a0353f3ea5fc08a0e09850d315</t>
  </si>
  <si>
    <t>https://ropsten.etherscan.io/tx/0x82db38ad661705dcee018ceaaceeed7a32c57cc023a8bd9dd076afae0eb947dc</t>
  </si>
  <si>
    <t>https://ropsten.etherscan.io/tx/0x3d0ead8070a1850e8a6eae8648a2e2cf8030beeb1686da2ae916ff1db180c6b3</t>
  </si>
  <si>
    <t>https://ropsten.etherscan.io/tx/0x1c1241ae5306f648e8f75613da2d2865ae4f3148ae92e270562ae059bf05b906</t>
  </si>
  <si>
    <t>https://ropsten.etherscan.io/tx/0x87855ad1d0669355b3ecb0efd642b8fa8a3b681f89b6602b1a3fdbd735315d8f</t>
  </si>
  <si>
    <t>https://ropsten.etherscan.io/tx/0x11050a1a85834ec81271d8dd66348a71d39e3f57ab9434a6e8af8246ea4a5769</t>
  </si>
  <si>
    <t>https://ropsten.etherscan.io/tx/0x98ce638ad3a212ec68dc11aa1dab0f21c5a761f816c10fb4ea995d0d7bdc0350</t>
  </si>
  <si>
    <t>https://ropsten.etherscan.io/tx/0xab87af354eabfa89c8e62fc4b9358f4529ba691624874ba084bdb55b8d12b2a7</t>
  </si>
  <si>
    <t>https://ropsten.etherscan.io/tx/0xb194b1ab5d499766632d05a2852c5062fca161f37ea7a6d843bacaf18f3789b8</t>
  </si>
  <si>
    <t>https://ropsten.etherscan.io/tx/0xc4bc05b73876b475c5eac03d49fd1f0848392365103d979a5a1173d15df1dd64</t>
  </si>
  <si>
    <t>https://ropsten.etherscan.io/tx/0x26d1fd5eb0f01d17e7eca2f1e3a32401ae2680d706186d4c9a98aa1fb6ab1a8c</t>
  </si>
  <si>
    <t>https://ropsten.etherscan.io/tx/0x00e92f76b58de9e5f5f53fe8d63d0aa7309fc4d660d36742b4569df538a02722</t>
  </si>
  <si>
    <t>https://ropsten.etherscan.io/tx/0x803fd6efd631a819aa6e8b49ede7e1cb42f63927d1687a76c67ec7cab16ee0d8</t>
  </si>
  <si>
    <t>https://ropsten.etherscan.io/tx/0x53149c06ce56212ea33791cac52969b25b1e2c584705bd595c4518c77eccfd42</t>
  </si>
  <si>
    <t>https://ropsten.etherscan.io/tx/0xbb3e2b0d4fbd1ec5dc42688f9f11ad8971fcc83db6f286c51b7d1ef0a1f94a1d</t>
  </si>
  <si>
    <t>https://ropsten.etherscan.io/tx/0xa58c3314490b698eed66c74e7fb5e11cbeb32a7e24fc776da6cdac46cfa56530</t>
  </si>
  <si>
    <t>https://ropsten.etherscan.io/tx/0x77c28050b275c293f82816f636bc09d381a611072f0b3cb35056698f96db7c6f</t>
  </si>
  <si>
    <t>https://ropsten.etherscan.io/tx/0xb08fb0edc5d10e0b036a6f00dc06b1bcd1d6911f821ef01eef8800ad5ac74a42</t>
  </si>
  <si>
    <t>https://ropsten.etherscan.io/tx/0x8d5982a3ccad71c86c58d89cb9a035c270e34887ccd48a834d15d0c49b8e6308</t>
  </si>
  <si>
    <t>https://ropsten.etherscan.io/tx/0x9661790582c288fe0d91f6ab533069c6d85e4af00be3b1beabbcded4c25c5049</t>
  </si>
  <si>
    <t>https://ropsten.etherscan.io/tx/0x2376cdcabfde8898ae7866194879258fa293711353d3379492f0a0c9ec1dbf1e</t>
  </si>
  <si>
    <t>https://ropsten.etherscan.io/tx/0x14edc6f32939d74610919e866b0774c876665dca43afef027dabc3d6f66e2b58</t>
  </si>
  <si>
    <t>https://ropsten.etherscan.io/tx/0xc622b6b1334b2128097e7848b7d7271223af786e4f4bf5bf2c8783208e58f95f</t>
  </si>
  <si>
    <t>https://ropsten.etherscan.io/tx/0x9d947bb51cf49d6520dfb70bd361586214c83784f6f18c798afb5b5c537a8940</t>
  </si>
  <si>
    <t>https://ropsten.etherscan.io/tx/0x42f3d2414c2ecd2f88a6987b6688e1f4c41b4736a1d70a5410c180120492d0f2</t>
  </si>
  <si>
    <t>https://ropsten.etherscan.io/tx/0xb7826a6669b375b1778cf77020654eacee93fbeae5000f185d74b59e519c5c53</t>
  </si>
  <si>
    <t>https://ropsten.etherscan.io/tx/0xeae176677a325f6b6a1479641cc12972711b11df1e5de66b41ffed3b856f697e</t>
  </si>
  <si>
    <t>https://ropsten.etherscan.io/tx/0xe43dbfc5e1fb30a7d93841c1c9e749e3c0ed65b03b5515311389a97054f74afa</t>
  </si>
  <si>
    <t>https://ropsten.etherscan.io/tx/0xc4f0b66e49ae0efd340bcba740b2f1a08c5bc364b2d264878d49350cf2040c19</t>
  </si>
  <si>
    <t>https://ropsten.etherscan.io/tx/0x00166a968a0658f91bc161f4c8b4929a0c92b2cc2c37f7aaa8462dcbca986be2</t>
  </si>
  <si>
    <t>https://ropsten.etherscan.io/tx/0xaf632b2102aedb180f617e805fe95927836e1d421f843359f8597e3070737764</t>
  </si>
  <si>
    <t>https://ropsten.etherscan.io/tx/0xa005b2a44a5a80401c05cfee96f9ba6748a742f1696dc3049108c02ec204ecec</t>
  </si>
  <si>
    <t>https://ropsten.etherscan.io/tx/0x84c75aafb0cac83a25325e8dde7109d6f1f494ecddbf544b9a7e0289d627274c</t>
  </si>
  <si>
    <t>https://ropsten.etherscan.io/tx/0x9fe8a07fb36b34eec27c08020b6c452230688c6436d3a2b0d58498766552e791</t>
  </si>
  <si>
    <t>https://ropsten.etherscan.io/tx/0x1fd8f341ec4d6611f391834671068f017934c0485e73225745b996bc98b3b9e8</t>
  </si>
  <si>
    <t>https://ropsten.etherscan.io/tx/0xaa643e6ff309902adfef8d87167d9b78c0d6794a2975e07b4f4c725ae5a4f2d0</t>
  </si>
  <si>
    <t>https://ropsten.etherscan.io/tx/0x98608342315a066da9c74fc69da1dbfbbc62d27fa3ffa0f51f7e50fb2534d871</t>
  </si>
  <si>
    <t>https://ropsten.etherscan.io/tx/0xea6d87e0509a37be2838e3a3f6ec4f5b40706ff5960fe6fd720c81d8534cf6a9</t>
  </si>
  <si>
    <t>https://ropsten.etherscan.io/tx/0xc34751b9e2a79f346b89fae96c94c9c929be417ec7ce3b6d991ac8df962df6a4</t>
  </si>
  <si>
    <t>https://ropsten.etherscan.io/tx/0xb80fb0b7286d47ac9a29512ee4cfdc1908ad51ba24cd9b3dbcedb61d581c90f5</t>
  </si>
  <si>
    <t>https://ropsten.etherscan.io/tx/0x2d7796a9ef7c79d382c9b81d4b7a006ecfa38b583f1b7c6363fb053c1f30c54d</t>
  </si>
  <si>
    <t>https://ropsten.etherscan.io/tx/0x89b1025303d9d4b59daef9aa744ab41056e967a9c233fb8e9938b866fab2dbbf</t>
  </si>
  <si>
    <t>https://ropsten.etherscan.io/tx/0x038d0edd740c096a6981ab3a92ca87bdc9e5a1d372882f8c1b1a112f3097894a</t>
  </si>
  <si>
    <t>https://ropsten.etherscan.io/tx/0x7e4c924ed355bbef73e958969866730100837b8e7e368c8d7448c304e3a21fd1</t>
  </si>
  <si>
    <t>https://ropsten.etherscan.io/tx/0x1ebc211895898c9de50414a6e0e231c77bedd69cd58c4ae013fd9f4647831581</t>
  </si>
  <si>
    <t>https://ropsten.etherscan.io/tx/0x09e726e895b28425bc24fbc62bff93f9624239862b1a49a5e431ca2c20f07cd9</t>
  </si>
  <si>
    <t>https://ropsten.etherscan.io/tx/0x630a36214969dbf67b2ef0156c353ccf72431f62439024ca0b5bdbd3d80a5c1a</t>
  </si>
  <si>
    <t>https://ropsten.etherscan.io/tx/0x6413e2c4f92babd2fe7b278f322aad24960e7271d7067c76e562cd8b9090471b</t>
  </si>
  <si>
    <t>https://ropsten.etherscan.io/tx/0x4cdd227148f33f4ceefb75e29bc94d9b31f9c74eaa05a26e4fd6d4fe7901ffad</t>
  </si>
  <si>
    <t>https://ropsten.etherscan.io/tx/0x06dddcdceedae5985bb8f6af0de4cd3e094f2db18dc0cb54a23624b4505d4abb</t>
  </si>
  <si>
    <t>https://ropsten.etherscan.io/tx/0xd9db66e592c8278f30887bb97ae7b0fb4ac5202006762b8e3919984949787fba</t>
  </si>
  <si>
    <t>https://ropsten.etherscan.io/tx/0x7f20aafa4dbc724b8c441a8851c73eff23db753f6d2dc6bb37111f495971af17</t>
  </si>
  <si>
    <t>https://ropsten.etherscan.io/tx/0x09bf4881601685de11a76c49e3a98beb24ce4ca4cb69a7eda71ab59f045bdf3f</t>
  </si>
  <si>
    <t>https://ropsten.etherscan.io/tx/0xd5d8b0a64c30647a717338007d761bd00999e11bd4493fb9acdf2572165ad8df</t>
  </si>
  <si>
    <t>https://ropsten.etherscan.io/tx/0x2c199a5db1388e9cd93ed60a027e0d1dce086400a76ea415785017335eba754a</t>
  </si>
  <si>
    <t>https://ropsten.etherscan.io/tx/0xe64a289ecab0b7a3e0a021456e201fdc12d32188f85d974e0b5f840509946797</t>
  </si>
  <si>
    <t>https://ropsten.etherscan.io/tx/0xec1b157785d96206bd9a050b59a8e66bfd2a3d8f827e73dce789ec424264a191</t>
  </si>
  <si>
    <t>https://ropsten.etherscan.io/tx/0xc150c65285f2faa694ee021c8515af768da962e528089d7bc2c5c1bd403b7f92</t>
  </si>
  <si>
    <t>https://ropsten.etherscan.io/tx/0x054d84b1b5e44a272e1c4b8b53b7543951b94ce5dfc46051c0c465c63f5dc981</t>
  </si>
  <si>
    <t>https://ropsten.etherscan.io/tx/0x740660559fecd929b49b0847fd49ade71b72ee4fe8b93e93e3b449327a6aa859</t>
  </si>
  <si>
    <t>https://ropsten.etherscan.io/tx/0x9bcf5c37993a639b228e79574da8562f9a2fd2fb9427a875e74517294572637a</t>
  </si>
  <si>
    <t>https://ropsten.etherscan.io/tx/0xd1b9f9ccff216ab8a4896642e9a60e4afd249ea2eb7d0ffdca76142341ba2ec3</t>
  </si>
  <si>
    <t>https://ropsten.etherscan.io/tx/0xce71c826b4dc8b30232c2bdbd7957248b28af7d2b2b9eeb366cea27c7c64c131</t>
  </si>
  <si>
    <t>https://ropsten.etherscan.io/tx/0xc1a83fa72e0533ab44011dbef2ee1333bff3c169d83a14b500767acea18e3936</t>
  </si>
  <si>
    <t>https://ropsten.etherscan.io/tx/0xe3f78fb0a2bb23239de924eae08d40477a276715a6283ce2127ba33646f41ea9</t>
  </si>
  <si>
    <t>https://ropsten.etherscan.io/tx/0xa1ce2bf9fe39e409b40421d960d72bf18937215f0aa3f77c8369492f875d5906</t>
  </si>
  <si>
    <t>https://ropsten.etherscan.io/tx/0xb3b137c858bce721093f1eec1d9edede372a5ef090f01a3898db7487f3389f8b</t>
  </si>
  <si>
    <t>https://ropsten.etherscan.io/tx/0x83739751e4ca43a2c8560b12237d0473dfa25e1f7b7dc2e2eb14458f90246706</t>
  </si>
  <si>
    <t>https://ropsten.etherscan.io/tx/0x260e10a49a15f38297cb7be6b28ee77f0697ae88db2e8e2032a2429f631f0d2a</t>
  </si>
  <si>
    <t>https://ropsten.etherscan.io/tx/0x4fa0c8c0c4d07b275d18452a6adab451b14dd7058860e9bfbb8b883799d782e0</t>
  </si>
  <si>
    <t>https://ropsten.etherscan.io/tx/0xc3165ed5f5a9af786f13b45fa90a1e5d4e0d55885845c347c8ee2dc1151bf881</t>
  </si>
  <si>
    <t>https://ropsten.etherscan.io/tx/0x6e81e8433d38fa4e6bfd0f18bd28699de6b104650b13a9b76cfcd6e6a5a014bb</t>
  </si>
  <si>
    <t>https://ropsten.etherscan.io/tx/0xaf9cbf4b57b14a35f0f08490646331ce54442a4e4101f96b6e5fc44a7a0d2bd8</t>
  </si>
  <si>
    <t>https://ropsten.etherscan.io/tx/0x167a623e5f4aec7b4240752ae79243dc4b0529933459ed32a740ed5010ac4d48</t>
  </si>
  <si>
    <t xml:space="preserve">time - exitTransaction </t>
  </si>
  <si>
    <t xml:space="preserve">time - entryTransaction </t>
  </si>
  <si>
    <t>Average</t>
  </si>
  <si>
    <t xml:space="preserve">base on eathe cost of </t>
  </si>
  <si>
    <t>Ether for 20 Gwei</t>
  </si>
  <si>
    <t xml:space="preserve">Gas cost base on </t>
  </si>
  <si>
    <t xml:space="preserve">mean </t>
  </si>
  <si>
    <t>standard deviation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</si>
</sst>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rgb="FF444444"/>
      <name val="Calibri"/>
      <family val="2"/>
      <scheme val="minor"/>
    </font>
    <font>
      <b/>
      <sz val="9"/>
      <color rgb="FF444444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7">
    <xf numFmtId="0" fontId="0" fillId="0" borderId="0" xfId="0"/>
    <xf numFmtId="0" fontId="18" fillId="0" borderId="0" xfId="42"/>
    <xf numFmtId="0" fontId="19" fillId="0" borderId="0" xfId="0" applyFont="1"/>
    <xf numFmtId="0" fontId="20" fillId="0" borderId="0" xfId="0" applyFont="1"/>
    <xf numFmtId="0" fontId="16" fillId="0" borderId="0" xfId="0" applyFont="1"/>
    <xf numFmtId="0" fontId="0" fillId="0" borderId="0" xfId="0" applyAlignment="1">
      <alignment horizontal="right"/>
    </xf>
    <xf numFmtId="0" fontId="0" fillId="0" borderId="0" xfId="0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s://rinkeby.etherscan.io/tx/0xafd74c8585bdc181f715f09e067052f0850b863e4629c03d1feada9d94b61a86" TargetMode="External"/><Relationship Id="rId21" Type="http://schemas.openxmlformats.org/officeDocument/2006/relationships/hyperlink" Target="https://rinkeby.etherscan.io/tx/0x5a6cc0a2c609933e8c84bfb99dc83416a29ab43fdcb57f48337ccbd8f8e4e323" TargetMode="External"/><Relationship Id="rId42" Type="http://schemas.openxmlformats.org/officeDocument/2006/relationships/hyperlink" Target="https://rinkeby.etherscan.io/tx/0x2a89231d67e4c8b778a0b14ac6522a3274e48cecd90d1919981c303429459b08" TargetMode="External"/><Relationship Id="rId63" Type="http://schemas.openxmlformats.org/officeDocument/2006/relationships/hyperlink" Target="https://rinkeby.etherscan.io/tx/0xf9e6a15f82a02fd39edc61da340b50629089722322dcd4904217865168118064" TargetMode="External"/><Relationship Id="rId84" Type="http://schemas.openxmlformats.org/officeDocument/2006/relationships/hyperlink" Target="https://rinkeby.etherscan.io/tx/0xaded26e2547a3b742356f66783071a94dc85f4837894159605ce4da500ae568a" TargetMode="External"/><Relationship Id="rId138" Type="http://schemas.openxmlformats.org/officeDocument/2006/relationships/hyperlink" Target="https://rinkeby.etherscan.io/tx/0xc6bf2ccd4949fa17afa260c7f384061ec3cb98a7bdf31925f8a2ee1e32899bac" TargetMode="External"/><Relationship Id="rId159" Type="http://schemas.openxmlformats.org/officeDocument/2006/relationships/hyperlink" Target="https://ropsten.etherscan.io/tx/0x32782a21c942df52ef29a85533eed0e2e5072a6b40f600b309644b6e69b4f109" TargetMode="External"/><Relationship Id="rId170" Type="http://schemas.openxmlformats.org/officeDocument/2006/relationships/hyperlink" Target="https://ropsten.etherscan.io/tx/0x36b962e7b6042855c46e8f68e70a9d9a2fb38d828760008ee9ab5133a3b6b30f" TargetMode="External"/><Relationship Id="rId191" Type="http://schemas.openxmlformats.org/officeDocument/2006/relationships/hyperlink" Target="https://ropsten.etherscan.io/tx/0x77c28050b275c293f82816f636bc09d381a611072f0b3cb35056698f96db7c6f" TargetMode="External"/><Relationship Id="rId205" Type="http://schemas.openxmlformats.org/officeDocument/2006/relationships/hyperlink" Target="https://ropsten.etherscan.io/tx/0xaf632b2102aedb180f617e805fe95927836e1d421f843359f8597e3070737764" TargetMode="External"/><Relationship Id="rId226" Type="http://schemas.openxmlformats.org/officeDocument/2006/relationships/hyperlink" Target="https://ropsten.etherscan.io/tx/0x7f20aafa4dbc724b8c441a8851c73eff23db753f6d2dc6bb37111f495971af17" TargetMode="External"/><Relationship Id="rId247" Type="http://schemas.openxmlformats.org/officeDocument/2006/relationships/hyperlink" Target="https://ropsten.etherscan.io/tx/0xc3165ed5f5a9af786f13b45fa90a1e5d4e0d55885845c347c8ee2dc1151bf881" TargetMode="External"/><Relationship Id="rId107" Type="http://schemas.openxmlformats.org/officeDocument/2006/relationships/hyperlink" Target="https://rinkeby.etherscan.io/tx/0x9561e3be8f315fed6f657e3efc26b67b16b7e7a58a9960512caa4771f7352444" TargetMode="External"/><Relationship Id="rId11" Type="http://schemas.openxmlformats.org/officeDocument/2006/relationships/hyperlink" Target="https://rinkeby.etherscan.io/tx/0xe0f33152931441e305579160615b94f80b50971be37b9cccbb2e9f5dcf79b056" TargetMode="External"/><Relationship Id="rId32" Type="http://schemas.openxmlformats.org/officeDocument/2006/relationships/hyperlink" Target="https://rinkeby.etherscan.io/tx/0x826885686f7ef1c100f11d36422d2ef593d2d312f7607db7f091e9fa69145c64" TargetMode="External"/><Relationship Id="rId53" Type="http://schemas.openxmlformats.org/officeDocument/2006/relationships/hyperlink" Target="https://rinkeby.etherscan.io/tx/0x39ea607026dc89b6a6bb8cd160d64e6cc2bb9117f576edfe404ab4eacc8697ff" TargetMode="External"/><Relationship Id="rId74" Type="http://schemas.openxmlformats.org/officeDocument/2006/relationships/hyperlink" Target="https://rinkeby.etherscan.io/tx/0xeb4d924566fc1fbb893b7d0618791f5a827166aaf928f99d5c84ea6099e2e723" TargetMode="External"/><Relationship Id="rId128" Type="http://schemas.openxmlformats.org/officeDocument/2006/relationships/hyperlink" Target="https://rinkeby.etherscan.io/tx/0xf4db5608156c6598526b08f406523c95a90c01e45d5817fd101549e99ae02ceb" TargetMode="External"/><Relationship Id="rId149" Type="http://schemas.openxmlformats.org/officeDocument/2006/relationships/hyperlink" Target="https://rinkeby.etherscan.io/tx/0x75d189818cfcd96405253efb0522f2eb1f8354adc9a311c29a69566ac3a67e34" TargetMode="External"/><Relationship Id="rId5" Type="http://schemas.openxmlformats.org/officeDocument/2006/relationships/hyperlink" Target="https://ropsten.etherscan.io/tx/0x1e313b9888fb9fda4f349cbb96898096596c0566672d4a1b46ab6a2f9f90f6d8" TargetMode="External"/><Relationship Id="rId95" Type="http://schemas.openxmlformats.org/officeDocument/2006/relationships/hyperlink" Target="https://rinkeby.etherscan.io/tx/0xdfd02b7c288538a640ea5982f781ef94c51d17261c7c2951c3d6cea97c23284d" TargetMode="External"/><Relationship Id="rId160" Type="http://schemas.openxmlformats.org/officeDocument/2006/relationships/hyperlink" Target="https://ropsten.etherscan.io/tx/0xbe929d0619a7fb7d6db7680d949549606f0a56c3bb5be7122449de621bf0e5b6" TargetMode="External"/><Relationship Id="rId181" Type="http://schemas.openxmlformats.org/officeDocument/2006/relationships/hyperlink" Target="https://ropsten.etherscan.io/tx/0x98ce638ad3a212ec68dc11aa1dab0f21c5a761f816c10fb4ea995d0d7bdc0350" TargetMode="External"/><Relationship Id="rId216" Type="http://schemas.openxmlformats.org/officeDocument/2006/relationships/hyperlink" Target="https://ropsten.etherscan.io/tx/0x89b1025303d9d4b59daef9aa744ab41056e967a9c233fb8e9938b866fab2dbbf" TargetMode="External"/><Relationship Id="rId237" Type="http://schemas.openxmlformats.org/officeDocument/2006/relationships/hyperlink" Target="https://ropsten.etherscan.io/tx/0xd1b9f9ccff216ab8a4896642e9a60e4afd249ea2eb7d0ffdca76142341ba2ec3" TargetMode="External"/><Relationship Id="rId22" Type="http://schemas.openxmlformats.org/officeDocument/2006/relationships/hyperlink" Target="https://rinkeby.etherscan.io/tx/0x6f2b13f9a8a74d465e89b20d60ad2893c6fc8849c21578e5da27b1f376c3b603" TargetMode="External"/><Relationship Id="rId43" Type="http://schemas.openxmlformats.org/officeDocument/2006/relationships/hyperlink" Target="https://rinkeby.etherscan.io/tx/0xd54115fda7a156970869a7f19631eece754cbd18ab06b940fea67894c2430b8c" TargetMode="External"/><Relationship Id="rId64" Type="http://schemas.openxmlformats.org/officeDocument/2006/relationships/hyperlink" Target="https://rinkeby.etherscan.io/tx/0xf2b26e31833939ba2920b8205791a316a41e0d13256b3893860ee2d1b997d166" TargetMode="External"/><Relationship Id="rId118" Type="http://schemas.openxmlformats.org/officeDocument/2006/relationships/hyperlink" Target="https://rinkeby.etherscan.io/tx/0x108fdbaacea102bff8206651e68c8d4af4b9d5e6b2002c1589b93f1ecabb82f3" TargetMode="External"/><Relationship Id="rId139" Type="http://schemas.openxmlformats.org/officeDocument/2006/relationships/hyperlink" Target="https://rinkeby.etherscan.io/tx/0x46e643192d2e9a4b93c183edff7ad30bd0e6c684190068443ce5e21696aa3216" TargetMode="External"/><Relationship Id="rId85" Type="http://schemas.openxmlformats.org/officeDocument/2006/relationships/hyperlink" Target="https://rinkeby.etherscan.io/tx/0x5652a63f213842dc10233e8e9b40896a053f09ae3393438350341e5965679cee" TargetMode="External"/><Relationship Id="rId150" Type="http://schemas.openxmlformats.org/officeDocument/2006/relationships/hyperlink" Target="https://rinkeby.etherscan.io/tx/0x2f58f25040169fc951b72c557bbe0977804cabd4d08b536b8554b179122eddf4" TargetMode="External"/><Relationship Id="rId171" Type="http://schemas.openxmlformats.org/officeDocument/2006/relationships/hyperlink" Target="https://ropsten.etherscan.io/tx/0xc8aad9fd88161297bf524b55997c2dd2b1bb025785961f711bba6bf3ef4957ef" TargetMode="External"/><Relationship Id="rId192" Type="http://schemas.openxmlformats.org/officeDocument/2006/relationships/hyperlink" Target="https://ropsten.etherscan.io/tx/0xb08fb0edc5d10e0b036a6f00dc06b1bcd1d6911f821ef01eef8800ad5ac74a42" TargetMode="External"/><Relationship Id="rId206" Type="http://schemas.openxmlformats.org/officeDocument/2006/relationships/hyperlink" Target="https://ropsten.etherscan.io/tx/0xa005b2a44a5a80401c05cfee96f9ba6748a742f1696dc3049108c02ec204ecec" TargetMode="External"/><Relationship Id="rId227" Type="http://schemas.openxmlformats.org/officeDocument/2006/relationships/hyperlink" Target="https://ropsten.etherscan.io/tx/0x09bf4881601685de11a76c49e3a98beb24ce4ca4cb69a7eda71ab59f045bdf3f" TargetMode="External"/><Relationship Id="rId248" Type="http://schemas.openxmlformats.org/officeDocument/2006/relationships/hyperlink" Target="https://ropsten.etherscan.io/tx/0x6e81e8433d38fa4e6bfd0f18bd28699de6b104650b13a9b76cfcd6e6a5a014bb" TargetMode="External"/><Relationship Id="rId12" Type="http://schemas.openxmlformats.org/officeDocument/2006/relationships/hyperlink" Target="https://rinkeby.etherscan.io/tx/0x20caf72de7df1a523e75034c58c822ded45642feffc94bf071081f68dbdb12ba" TargetMode="External"/><Relationship Id="rId17" Type="http://schemas.openxmlformats.org/officeDocument/2006/relationships/hyperlink" Target="https://rinkeby.etherscan.io/tx/0xdf81e90a74bf38d1407650b570b75f359de77cd2ffbbceb307a2b60855bd9d8f" TargetMode="External"/><Relationship Id="rId33" Type="http://schemas.openxmlformats.org/officeDocument/2006/relationships/hyperlink" Target="https://rinkeby.etherscan.io/tx/0x9cdd61b7e63f3007e8a79458c74b514745a552693ff7f11dde4fe4b0aa8aff23" TargetMode="External"/><Relationship Id="rId38" Type="http://schemas.openxmlformats.org/officeDocument/2006/relationships/hyperlink" Target="https://rinkeby.etherscan.io/tx/0xfb3cd176b9856c4013e4dc10d48baa600d6c40ec54040e1e7172fcec26fe8377" TargetMode="External"/><Relationship Id="rId59" Type="http://schemas.openxmlformats.org/officeDocument/2006/relationships/hyperlink" Target="https://rinkeby.etherscan.io/tx/0xb7da7dec95d878ef00a88856711ec2f7bf68d9add2f1c14c4e02d30fe9b58d02" TargetMode="External"/><Relationship Id="rId103" Type="http://schemas.openxmlformats.org/officeDocument/2006/relationships/hyperlink" Target="https://rinkeby.etherscan.io/tx/0x1859973d31249093d27d31122ba0c9676ed96f88de2e81e89d0ed8fc0046a86d" TargetMode="External"/><Relationship Id="rId108" Type="http://schemas.openxmlformats.org/officeDocument/2006/relationships/hyperlink" Target="https://rinkeby.etherscan.io/tx/0xc447ad627e8ce0c80cfdb2d079c42cff403a1695c4b8821e305523353540a2f5" TargetMode="External"/><Relationship Id="rId124" Type="http://schemas.openxmlformats.org/officeDocument/2006/relationships/hyperlink" Target="https://rinkeby.etherscan.io/tx/0xeeb34613f4a277c77ad1e84e1cb74ee0439f00da61532e9e65d538d65679f59f" TargetMode="External"/><Relationship Id="rId129" Type="http://schemas.openxmlformats.org/officeDocument/2006/relationships/hyperlink" Target="https://rinkeby.etherscan.io/tx/0x2e759c652bb6f29a3dc904b9dbdd6f5266714140543f2687d0a4814ab89be08e" TargetMode="External"/><Relationship Id="rId54" Type="http://schemas.openxmlformats.org/officeDocument/2006/relationships/hyperlink" Target="https://rinkeby.etherscan.io/tx/0xc4f0d6e3f78eb75b5a224b3a9efa0899be43e9b9b7f0439d4054b7601861ea57" TargetMode="External"/><Relationship Id="rId70" Type="http://schemas.openxmlformats.org/officeDocument/2006/relationships/hyperlink" Target="https://rinkeby.etherscan.io/tx/0x66aec8b213e0c1e33e4c568545d7bfe770d30604dd5aa6c8582b7c56abd2672b" TargetMode="External"/><Relationship Id="rId75" Type="http://schemas.openxmlformats.org/officeDocument/2006/relationships/hyperlink" Target="https://rinkeby.etherscan.io/tx/0x1285f2eba4f17cd5937d188da297e921d487bc8ae67347291c765fb1788b706d" TargetMode="External"/><Relationship Id="rId91" Type="http://schemas.openxmlformats.org/officeDocument/2006/relationships/hyperlink" Target="https://rinkeby.etherscan.io/tx/0x5971a4f9e7fd6bb4045630986110fc8790ed0e19d7169bf0b2be9fe63cb34463" TargetMode="External"/><Relationship Id="rId96" Type="http://schemas.openxmlformats.org/officeDocument/2006/relationships/hyperlink" Target="https://rinkeby.etherscan.io/tx/0xa7381543ed5f3fa2cdae3dcd3b208e9951e45ad6957a8aaefecf048a2a8c81ab" TargetMode="External"/><Relationship Id="rId140" Type="http://schemas.openxmlformats.org/officeDocument/2006/relationships/hyperlink" Target="https://rinkeby.etherscan.io/tx/0xc8e1a07bbb144b07c7513d21406a2a7c664bce15964ed54f4fab4b395338f0a1" TargetMode="External"/><Relationship Id="rId145" Type="http://schemas.openxmlformats.org/officeDocument/2006/relationships/hyperlink" Target="https://rinkeby.etherscan.io/tx/0xb8e28263e667eb4a1360224c4cf21f1f753d8c4303626261cb6d77c2aaa6f3da" TargetMode="External"/><Relationship Id="rId161" Type="http://schemas.openxmlformats.org/officeDocument/2006/relationships/hyperlink" Target="https://ropsten.etherscan.io/tx/0x57ce724f61e95959cef3c5e4f9e83711fe975a0473a1f0febf6732936fc1accb" TargetMode="External"/><Relationship Id="rId166" Type="http://schemas.openxmlformats.org/officeDocument/2006/relationships/hyperlink" Target="https://ropsten.etherscan.io/tx/0xc31fb17d2d1afbc3685f418cfe0159037adba765a7613c8be821b9331908c600" TargetMode="External"/><Relationship Id="rId182" Type="http://schemas.openxmlformats.org/officeDocument/2006/relationships/hyperlink" Target="https://ropsten.etherscan.io/tx/0xab87af354eabfa89c8e62fc4b9358f4529ba691624874ba084bdb55b8d12b2a7" TargetMode="External"/><Relationship Id="rId187" Type="http://schemas.openxmlformats.org/officeDocument/2006/relationships/hyperlink" Target="https://ropsten.etherscan.io/tx/0x803fd6efd631a819aa6e8b49ede7e1cb42f63927d1687a76c67ec7cab16ee0d8" TargetMode="External"/><Relationship Id="rId217" Type="http://schemas.openxmlformats.org/officeDocument/2006/relationships/hyperlink" Target="https://ropsten.etherscan.io/tx/0x038d0edd740c096a6981ab3a92ca87bdc9e5a1d372882f8c1b1a112f3097894a" TargetMode="External"/><Relationship Id="rId1" Type="http://schemas.openxmlformats.org/officeDocument/2006/relationships/hyperlink" Target="https://rinkeby.etherscan.io/tx/0x6ba4832397c5db38f415b6fdcac9dae72fa0db5e395ad9c0d411403c6d44b401" TargetMode="External"/><Relationship Id="rId6" Type="http://schemas.openxmlformats.org/officeDocument/2006/relationships/hyperlink" Target="https://rinkeby.etherscan.io/tx/0xb3859afb4fd9653dc2915311c23e0e17d84aa986d976601162d1020076abcd5e" TargetMode="External"/><Relationship Id="rId212" Type="http://schemas.openxmlformats.org/officeDocument/2006/relationships/hyperlink" Target="https://ropsten.etherscan.io/tx/0xea6d87e0509a37be2838e3a3f6ec4f5b40706ff5960fe6fd720c81d8534cf6a9" TargetMode="External"/><Relationship Id="rId233" Type="http://schemas.openxmlformats.org/officeDocument/2006/relationships/hyperlink" Target="https://ropsten.etherscan.io/tx/0x06dddcdceedae5985bb8f6af0de4cd3e094f2db18dc0cb54a23624b4505d4abb" TargetMode="External"/><Relationship Id="rId238" Type="http://schemas.openxmlformats.org/officeDocument/2006/relationships/hyperlink" Target="https://ropsten.etherscan.io/tx/0xce71c826b4dc8b30232c2bdbd7957248b28af7d2b2b9eeb366cea27c7c64c131" TargetMode="External"/><Relationship Id="rId23" Type="http://schemas.openxmlformats.org/officeDocument/2006/relationships/hyperlink" Target="https://rinkeby.etherscan.io/tx/0x5d96554b91a47077fbd01582b8b4541c9ff881b88384552dfac33a6311b3585f" TargetMode="External"/><Relationship Id="rId28" Type="http://schemas.openxmlformats.org/officeDocument/2006/relationships/hyperlink" Target="https://rinkeby.etherscan.io/tx/0xa0f29cbac7c9b02b5bdd54d51f603aabd357a645287637677de382ee46133b20" TargetMode="External"/><Relationship Id="rId49" Type="http://schemas.openxmlformats.org/officeDocument/2006/relationships/hyperlink" Target="https://rinkeby.etherscan.io/tx/0xe9e6728b83736f6c2eddc3c6be894ee2885b8360e0c62ebc22aa914cbb30cf41" TargetMode="External"/><Relationship Id="rId114" Type="http://schemas.openxmlformats.org/officeDocument/2006/relationships/hyperlink" Target="https://rinkeby.etherscan.io/tx/0xb1ae66cc88b17ccaddbe681be68dd226d5d18276dc6d29b332c8c10a0a30de57" TargetMode="External"/><Relationship Id="rId119" Type="http://schemas.openxmlformats.org/officeDocument/2006/relationships/hyperlink" Target="https://rinkeby.etherscan.io/tx/0xa55c528a7f9d8e51c740a044f657b053cccc073938831910feb8c72417da20a5" TargetMode="External"/><Relationship Id="rId44" Type="http://schemas.openxmlformats.org/officeDocument/2006/relationships/hyperlink" Target="https://rinkeby.etherscan.io/tx/0x8b1f37b073c4a936b64c27dec8342f53805c6db1d56afc0811873bfb6678ff62" TargetMode="External"/><Relationship Id="rId60" Type="http://schemas.openxmlformats.org/officeDocument/2006/relationships/hyperlink" Target="https://rinkeby.etherscan.io/tx/0xbfe8741ff2062246d5683bf6555babc351990f58a7d40f445a63dc9e087feadf" TargetMode="External"/><Relationship Id="rId65" Type="http://schemas.openxmlformats.org/officeDocument/2006/relationships/hyperlink" Target="https://rinkeby.etherscan.io/tx/0x79a3b5a8ee43d1873c4f51c82c6dbb013a0bc98692b760dc69e0eb8020b72e0e" TargetMode="External"/><Relationship Id="rId81" Type="http://schemas.openxmlformats.org/officeDocument/2006/relationships/hyperlink" Target="https://rinkeby.etherscan.io/tx/0x6ab8cfa644818132901a440d0567ff6683b7b46c6fac67f2f67a1004a76a9085" TargetMode="External"/><Relationship Id="rId86" Type="http://schemas.openxmlformats.org/officeDocument/2006/relationships/hyperlink" Target="https://rinkeby.etherscan.io/tx/0x9447238bbf0f56c2f4b8d7c0805e09cba28736895142fc58de3ca68e61d82835" TargetMode="External"/><Relationship Id="rId130" Type="http://schemas.openxmlformats.org/officeDocument/2006/relationships/hyperlink" Target="https://rinkeby.etherscan.io/tx/0xb6be300337eaf2e866429959d3c7635aa31132ec8cd74cd478a7645abca4095a" TargetMode="External"/><Relationship Id="rId135" Type="http://schemas.openxmlformats.org/officeDocument/2006/relationships/hyperlink" Target="https://rinkeby.etherscan.io/tx/0x4f1ab376634c7c423162490e90b436db20091aa4ec29eac163379287e39e372b" TargetMode="External"/><Relationship Id="rId151" Type="http://schemas.openxmlformats.org/officeDocument/2006/relationships/hyperlink" Target="https://rinkeby.etherscan.io/tx/0x3df8bb2abb92184e818fa11d59f3fbd9713b98b67c6932f8be132331053669d9" TargetMode="External"/><Relationship Id="rId156" Type="http://schemas.openxmlformats.org/officeDocument/2006/relationships/hyperlink" Target="https://rinkeby.etherscan.io/tx/0x7fc6fe53bbe27465f1c8c0f1d13df986c8b524b2bc0f15c03ff7a23188ac933a" TargetMode="External"/><Relationship Id="rId177" Type="http://schemas.openxmlformats.org/officeDocument/2006/relationships/hyperlink" Target="https://ropsten.etherscan.io/tx/0x3d0ead8070a1850e8a6eae8648a2e2cf8030beeb1686da2ae916ff1db180c6b3" TargetMode="External"/><Relationship Id="rId198" Type="http://schemas.openxmlformats.org/officeDocument/2006/relationships/hyperlink" Target="https://ropsten.etherscan.io/tx/0x9d947bb51cf49d6520dfb70bd361586214c83784f6f18c798afb5b5c537a8940" TargetMode="External"/><Relationship Id="rId172" Type="http://schemas.openxmlformats.org/officeDocument/2006/relationships/hyperlink" Target="https://ropsten.etherscan.io/tx/0xd00205d0f820eaaf3d8e514853bdd64411a42fd1f951b7377c458e6e7d9d1419" TargetMode="External"/><Relationship Id="rId193" Type="http://schemas.openxmlformats.org/officeDocument/2006/relationships/hyperlink" Target="https://ropsten.etherscan.io/tx/0x8d5982a3ccad71c86c58d89cb9a035c270e34887ccd48a834d15d0c49b8e6308" TargetMode="External"/><Relationship Id="rId202" Type="http://schemas.openxmlformats.org/officeDocument/2006/relationships/hyperlink" Target="https://ropsten.etherscan.io/tx/0xe43dbfc5e1fb30a7d93841c1c9e749e3c0ed65b03b5515311389a97054f74afa" TargetMode="External"/><Relationship Id="rId207" Type="http://schemas.openxmlformats.org/officeDocument/2006/relationships/hyperlink" Target="https://ropsten.etherscan.io/tx/0x84c75aafb0cac83a25325e8dde7109d6f1f494ecddbf544b9a7e0289d627274c" TargetMode="External"/><Relationship Id="rId223" Type="http://schemas.openxmlformats.org/officeDocument/2006/relationships/hyperlink" Target="https://ropsten.etherscan.io/tx/0x4cdd227148f33f4ceefb75e29bc94d9b31f9c74eaa05a26e4fd6d4fe7901ffad" TargetMode="External"/><Relationship Id="rId228" Type="http://schemas.openxmlformats.org/officeDocument/2006/relationships/hyperlink" Target="https://ropsten.etherscan.io/tx/0xd5d8b0a64c30647a717338007d761bd00999e11bd4493fb9acdf2572165ad8df" TargetMode="External"/><Relationship Id="rId244" Type="http://schemas.openxmlformats.org/officeDocument/2006/relationships/hyperlink" Target="https://ropsten.etherscan.io/tx/0x260e10a49a15f38297cb7be6b28ee77f0697ae88db2e8e2032a2429f631f0d2a" TargetMode="External"/><Relationship Id="rId249" Type="http://schemas.openxmlformats.org/officeDocument/2006/relationships/hyperlink" Target="https://ropsten.etherscan.io/tx/0xaf9cbf4b57b14a35f0f08490646331ce54442a4e4101f96b6e5fc44a7a0d2bd8" TargetMode="External"/><Relationship Id="rId13" Type="http://schemas.openxmlformats.org/officeDocument/2006/relationships/hyperlink" Target="https://rinkeby.etherscan.io/tx/0xee0400a31434021a06d5e417538a883bcbc2e5dea94b496f5f8e0361d4e5546e" TargetMode="External"/><Relationship Id="rId18" Type="http://schemas.openxmlformats.org/officeDocument/2006/relationships/hyperlink" Target="https://rinkeby.etherscan.io/tx/0xa844bf022960029800de989a11601a09f6ceb4fbbd121c798e34728d59000595" TargetMode="External"/><Relationship Id="rId39" Type="http://schemas.openxmlformats.org/officeDocument/2006/relationships/hyperlink" Target="https://rinkeby.etherscan.io/tx/0x8eb8ff35f7eaaebad744289eed8017016ff4df46aadbf02e75d3ecfe4f60e626" TargetMode="External"/><Relationship Id="rId109" Type="http://schemas.openxmlformats.org/officeDocument/2006/relationships/hyperlink" Target="https://rinkeby.etherscan.io/tx/0xee2f6d1910ab00f6446652323163abf3bd6bd2cedbd81d6a50a8a0612c7bc83a" TargetMode="External"/><Relationship Id="rId34" Type="http://schemas.openxmlformats.org/officeDocument/2006/relationships/hyperlink" Target="https://rinkeby.etherscan.io/tx/0x4e85a58c4e3a136343f2ffb21ee7782d0d3e74a9c385625d963521f98e1523e9" TargetMode="External"/><Relationship Id="rId50" Type="http://schemas.openxmlformats.org/officeDocument/2006/relationships/hyperlink" Target="https://rinkeby.etherscan.io/tx/0xa3a197964b64dd2e499055f2a589e808a1bbef416bf5fa4906d40864ca3b9fe3" TargetMode="External"/><Relationship Id="rId55" Type="http://schemas.openxmlformats.org/officeDocument/2006/relationships/hyperlink" Target="https://rinkeby.etherscan.io/tx/0x1a12c437b67c2df4f3e2e117aa35d072d52b47ae207d46755f1468428d325e94" TargetMode="External"/><Relationship Id="rId76" Type="http://schemas.openxmlformats.org/officeDocument/2006/relationships/hyperlink" Target="https://rinkeby.etherscan.io/tx/0x3afcb2e3d90007114b58ca631913e7f517daa9e2042205eb1b2f073ed385e0f9" TargetMode="External"/><Relationship Id="rId97" Type="http://schemas.openxmlformats.org/officeDocument/2006/relationships/hyperlink" Target="https://rinkeby.etherscan.io/tx/0x9e08d90dc2b2e3e4889c7010cc884c3043342d0a398a97e6dcff40e38b8f1188" TargetMode="External"/><Relationship Id="rId104" Type="http://schemas.openxmlformats.org/officeDocument/2006/relationships/hyperlink" Target="https://rinkeby.etherscan.io/tx/0x6a1873f14a5f890b368a76edcfbddc94381a97ad9e6895f5dd721bcacbb0d2f4" TargetMode="External"/><Relationship Id="rId120" Type="http://schemas.openxmlformats.org/officeDocument/2006/relationships/hyperlink" Target="https://rinkeby.etherscan.io/tx/0x883ad4e9d284e1edcc8a7e72f0809d6ee61f33c3f7112999b250806788674f3b" TargetMode="External"/><Relationship Id="rId125" Type="http://schemas.openxmlformats.org/officeDocument/2006/relationships/hyperlink" Target="https://rinkeby.etherscan.io/tx/0x59e16a8a3fcae97c7c6a6152d28fd4ea4c0a318bcb95d5f3103389fc70ddf284" TargetMode="External"/><Relationship Id="rId141" Type="http://schemas.openxmlformats.org/officeDocument/2006/relationships/hyperlink" Target="https://rinkeby.etherscan.io/tx/0x41f284ba4908ba4612a7fe735eac50667bee2e9008154827f83404a11a1372aa" TargetMode="External"/><Relationship Id="rId146" Type="http://schemas.openxmlformats.org/officeDocument/2006/relationships/hyperlink" Target="https://rinkeby.etherscan.io/tx/0x4ee33142bfbff5b48d842be8a541b4997fd82d67bf8f4b64e68d31bba4995310" TargetMode="External"/><Relationship Id="rId167" Type="http://schemas.openxmlformats.org/officeDocument/2006/relationships/hyperlink" Target="https://ropsten.etherscan.io/tx/0xd80ed261388420e0912608a8e1dbf64296ad7b2337e48fd1cdbd8f354ea327c0" TargetMode="External"/><Relationship Id="rId188" Type="http://schemas.openxmlformats.org/officeDocument/2006/relationships/hyperlink" Target="https://ropsten.etherscan.io/tx/0x53149c06ce56212ea33791cac52969b25b1e2c584705bd595c4518c77eccfd42" TargetMode="External"/><Relationship Id="rId7" Type="http://schemas.openxmlformats.org/officeDocument/2006/relationships/hyperlink" Target="https://rinkeby.etherscan.io/tx/0xeab75cadb3eb0f83fa5c980dc7527992c4e6cfca0e802abbd413114462164d96" TargetMode="External"/><Relationship Id="rId71" Type="http://schemas.openxmlformats.org/officeDocument/2006/relationships/hyperlink" Target="https://rinkeby.etherscan.io/tx/0x4e10434c95dbd26e474cf5401e89f1d8670d4708979d109c7572c5f73b31b274" TargetMode="External"/><Relationship Id="rId92" Type="http://schemas.openxmlformats.org/officeDocument/2006/relationships/hyperlink" Target="https://rinkeby.etherscan.io/tx/0xcae213824af3432bcdeb1d21775c9d914f24416508c6d7ce575e9a27f7152264" TargetMode="External"/><Relationship Id="rId162" Type="http://schemas.openxmlformats.org/officeDocument/2006/relationships/hyperlink" Target="https://ropsten.etherscan.io/tx/0xf701cf44a46372e62c5161a9f223282b432d5e8e4b4fdb40aa79cd6ff33bcdd5" TargetMode="External"/><Relationship Id="rId183" Type="http://schemas.openxmlformats.org/officeDocument/2006/relationships/hyperlink" Target="https://ropsten.etherscan.io/tx/0xb194b1ab5d499766632d05a2852c5062fca161f37ea7a6d843bacaf18f3789b8" TargetMode="External"/><Relationship Id="rId213" Type="http://schemas.openxmlformats.org/officeDocument/2006/relationships/hyperlink" Target="https://ropsten.etherscan.io/tx/0xc34751b9e2a79f346b89fae96c94c9c929be417ec7ce3b6d991ac8df962df6a4" TargetMode="External"/><Relationship Id="rId218" Type="http://schemas.openxmlformats.org/officeDocument/2006/relationships/hyperlink" Target="https://ropsten.etherscan.io/tx/0x7e4c924ed355bbef73e958969866730100837b8e7e368c8d7448c304e3a21fd1" TargetMode="External"/><Relationship Id="rId234" Type="http://schemas.openxmlformats.org/officeDocument/2006/relationships/hyperlink" Target="https://ropsten.etherscan.io/tx/0x054d84b1b5e44a272e1c4b8b53b7543951b94ce5dfc46051c0c465c63f5dc981" TargetMode="External"/><Relationship Id="rId239" Type="http://schemas.openxmlformats.org/officeDocument/2006/relationships/hyperlink" Target="https://ropsten.etherscan.io/tx/0xc1a83fa72e0533ab44011dbef2ee1333bff3c169d83a14b500767acea18e3936" TargetMode="External"/><Relationship Id="rId2" Type="http://schemas.openxmlformats.org/officeDocument/2006/relationships/hyperlink" Target="https://rinkeby.etherscan.io/tx/0x45ab2eec89ff210a24756538d949d6dd80e7d07e04c5d15011f90a7daae7d9ca" TargetMode="External"/><Relationship Id="rId29" Type="http://schemas.openxmlformats.org/officeDocument/2006/relationships/hyperlink" Target="https://rinkeby.etherscan.io/tx/0xf1bc8874d16ed02b3ca7994159d4b7619868d492be835d5d071a6861f547cfc2" TargetMode="External"/><Relationship Id="rId250" Type="http://schemas.openxmlformats.org/officeDocument/2006/relationships/hyperlink" Target="https://ropsten.etherscan.io/tx/0x167a623e5f4aec7b4240752ae79243dc4b0529933459ed32a740ed5010ac4d48" TargetMode="External"/><Relationship Id="rId24" Type="http://schemas.openxmlformats.org/officeDocument/2006/relationships/hyperlink" Target="https://rinkeby.etherscan.io/tx/0x9110b654764158431892adb9f43ca3d9b0a214b34b0755916f94239626aac881" TargetMode="External"/><Relationship Id="rId40" Type="http://schemas.openxmlformats.org/officeDocument/2006/relationships/hyperlink" Target="https://rinkeby.etherscan.io/tx/0x58f7fa7640e8b20ac3d471fb651071d554c2190fa2c56823a91498c9450141c4" TargetMode="External"/><Relationship Id="rId45" Type="http://schemas.openxmlformats.org/officeDocument/2006/relationships/hyperlink" Target="https://rinkeby.etherscan.io/tx/0xa196f76e5962b6e479bfd14a6a9dd82d6236a76395207ee78616c27ec54cd7dd" TargetMode="External"/><Relationship Id="rId66" Type="http://schemas.openxmlformats.org/officeDocument/2006/relationships/hyperlink" Target="https://rinkeby.etherscan.io/tx/0xa20b33d4838bbf0993672c2ff04cdcbbdfe648fac9482cbe6661a6e5ccb234a5" TargetMode="External"/><Relationship Id="rId87" Type="http://schemas.openxmlformats.org/officeDocument/2006/relationships/hyperlink" Target="https://rinkeby.etherscan.io/tx/0xa66493c3278f14ca1c2f3a5028cf4734d27719e01f32be961caf0685e585e634" TargetMode="External"/><Relationship Id="rId110" Type="http://schemas.openxmlformats.org/officeDocument/2006/relationships/hyperlink" Target="https://rinkeby.etherscan.io/tx/0xb8ad669006847253a6b965360cfc481e1c8dbf228eec2cc6f6a3c8a681be3859" TargetMode="External"/><Relationship Id="rId115" Type="http://schemas.openxmlformats.org/officeDocument/2006/relationships/hyperlink" Target="https://rinkeby.etherscan.io/tx/0x013becbdcf3f07021f7c2068c2bd295704dbc9a05375f4d933e5d4789904877f" TargetMode="External"/><Relationship Id="rId131" Type="http://schemas.openxmlformats.org/officeDocument/2006/relationships/hyperlink" Target="https://rinkeby.etherscan.io/tx/0x86cb7f54a6717ab796c46424e550741b58f423741c47c25be41ad385032018e4" TargetMode="External"/><Relationship Id="rId136" Type="http://schemas.openxmlformats.org/officeDocument/2006/relationships/hyperlink" Target="https://rinkeby.etherscan.io/tx/0xde262fc53b62395a36a088453ff57c027a42b77f458510d64c072c21bbf61375" TargetMode="External"/><Relationship Id="rId157" Type="http://schemas.openxmlformats.org/officeDocument/2006/relationships/hyperlink" Target="https://ropsten.etherscan.io/tx/0x5b041d3b74ceacd9de2382c76f1800eb9ce4429b6c0dd0e9b0b5754f7e92f06e" TargetMode="External"/><Relationship Id="rId178" Type="http://schemas.openxmlformats.org/officeDocument/2006/relationships/hyperlink" Target="https://ropsten.etherscan.io/tx/0x1c1241ae5306f648e8f75613da2d2865ae4f3148ae92e270562ae059bf05b906" TargetMode="External"/><Relationship Id="rId61" Type="http://schemas.openxmlformats.org/officeDocument/2006/relationships/hyperlink" Target="https://rinkeby.etherscan.io/tx/0x94712add275aa372baaca7af8880c57ea11f2addaeca662ea9138ba146eca9af" TargetMode="External"/><Relationship Id="rId82" Type="http://schemas.openxmlformats.org/officeDocument/2006/relationships/hyperlink" Target="https://rinkeby.etherscan.io/tx/0x93db1dabe16bd94dce6263778d00064c233e430904d374f5dc28e996701ce905" TargetMode="External"/><Relationship Id="rId152" Type="http://schemas.openxmlformats.org/officeDocument/2006/relationships/hyperlink" Target="https://rinkeby.etherscan.io/tx/0x9f79ebf52bcbfebedc039add17fd1f697196fbf5b0f1945cfe364ab26a4e1159" TargetMode="External"/><Relationship Id="rId173" Type="http://schemas.openxmlformats.org/officeDocument/2006/relationships/hyperlink" Target="https://ropsten.etherscan.io/tx/0x0b056a585da776c78ea11010fecf861dd52e1c217d3d07ed94e6beb167f9be54" TargetMode="External"/><Relationship Id="rId194" Type="http://schemas.openxmlformats.org/officeDocument/2006/relationships/hyperlink" Target="https://ropsten.etherscan.io/tx/0x9661790582c288fe0d91f6ab533069c6d85e4af00be3b1beabbcded4c25c5049" TargetMode="External"/><Relationship Id="rId199" Type="http://schemas.openxmlformats.org/officeDocument/2006/relationships/hyperlink" Target="https://ropsten.etherscan.io/tx/0x42f3d2414c2ecd2f88a6987b6688e1f4c41b4736a1d70a5410c180120492d0f2" TargetMode="External"/><Relationship Id="rId203" Type="http://schemas.openxmlformats.org/officeDocument/2006/relationships/hyperlink" Target="https://ropsten.etherscan.io/tx/0xc4f0b66e49ae0efd340bcba740b2f1a08c5bc364b2d264878d49350cf2040c19" TargetMode="External"/><Relationship Id="rId208" Type="http://schemas.openxmlformats.org/officeDocument/2006/relationships/hyperlink" Target="https://ropsten.etherscan.io/tx/0x9fe8a07fb36b34eec27c08020b6c452230688c6436d3a2b0d58498766552e791" TargetMode="External"/><Relationship Id="rId229" Type="http://schemas.openxmlformats.org/officeDocument/2006/relationships/hyperlink" Target="https://ropsten.etherscan.io/tx/0x2c199a5db1388e9cd93ed60a027e0d1dce086400a76ea415785017335eba754a" TargetMode="External"/><Relationship Id="rId19" Type="http://schemas.openxmlformats.org/officeDocument/2006/relationships/hyperlink" Target="https://rinkeby.etherscan.io/tx/0x00a73cff6c3a019f3060190d9b5911ffdf913cc315d723c3745850eae83dc0da" TargetMode="External"/><Relationship Id="rId224" Type="http://schemas.openxmlformats.org/officeDocument/2006/relationships/hyperlink" Target="https://ropsten.etherscan.io/tx/0x06dddcdceedae5985bb8f6af0de4cd3e094f2db18dc0cb54a23624b4505d4abb" TargetMode="External"/><Relationship Id="rId240" Type="http://schemas.openxmlformats.org/officeDocument/2006/relationships/hyperlink" Target="https://ropsten.etherscan.io/tx/0xe3f78fb0a2bb23239de924eae08d40477a276715a6283ce2127ba33646f41ea9" TargetMode="External"/><Relationship Id="rId245" Type="http://schemas.openxmlformats.org/officeDocument/2006/relationships/hyperlink" Target="https://ropsten.etherscan.io/tx/0x06dddcdceedae5985bb8f6af0de4cd3e094f2db18dc0cb54a23624b4505d4abb" TargetMode="External"/><Relationship Id="rId14" Type="http://schemas.openxmlformats.org/officeDocument/2006/relationships/hyperlink" Target="https://rinkeby.etherscan.io/tx/0x1fd50b36bca9431e42324986364d16bcf6f9784fc9d321dc700c77f7abbcac46" TargetMode="External"/><Relationship Id="rId30" Type="http://schemas.openxmlformats.org/officeDocument/2006/relationships/hyperlink" Target="https://rinkeby.etherscan.io/tx/0x42bce833296990d39efe230580684df152812a369eac0878827c75c9eb970fc6" TargetMode="External"/><Relationship Id="rId35" Type="http://schemas.openxmlformats.org/officeDocument/2006/relationships/hyperlink" Target="https://rinkeby.etherscan.io/tx/0xdc11a6caf539e5da31b25daf23cdca337a1b275a5f39d66cc223b993e9603950" TargetMode="External"/><Relationship Id="rId56" Type="http://schemas.openxmlformats.org/officeDocument/2006/relationships/hyperlink" Target="https://rinkeby.etherscan.io/tx/0xe55b7d8bc5c408627abde9c43de38f0fb7e9545d4304185516b53ed195518051" TargetMode="External"/><Relationship Id="rId77" Type="http://schemas.openxmlformats.org/officeDocument/2006/relationships/hyperlink" Target="https://rinkeby.etherscan.io/tx/0xf390339279051bfaa6d693eae43e9895353900dc5e1fdc327e5a541c258430c2" TargetMode="External"/><Relationship Id="rId100" Type="http://schemas.openxmlformats.org/officeDocument/2006/relationships/hyperlink" Target="https://rinkeby.etherscan.io/tx/0xd575c09b1644068e8d704514edfcf2c3cf22a283a6179f79d19d9f9bfb601a16" TargetMode="External"/><Relationship Id="rId105" Type="http://schemas.openxmlformats.org/officeDocument/2006/relationships/hyperlink" Target="https://rinkeby.etherscan.io/tx/0x4e8d6b955c2956c3d619730d470ec563ea2f80407bdf226cd72fc80cbf97235a" TargetMode="External"/><Relationship Id="rId126" Type="http://schemas.openxmlformats.org/officeDocument/2006/relationships/hyperlink" Target="https://rinkeby.etherscan.io/tx/0xbb9d57d9747ba2dfb813f7b62cd84632a3a81d78d31a3e436acb76874bda6753" TargetMode="External"/><Relationship Id="rId147" Type="http://schemas.openxmlformats.org/officeDocument/2006/relationships/hyperlink" Target="https://rinkeby.etherscan.io/tx/0x3f06cef1fd20ce2ce9c6fdd1352c910f4aa23ae618cb88408a4eb4332f3a77cf" TargetMode="External"/><Relationship Id="rId168" Type="http://schemas.openxmlformats.org/officeDocument/2006/relationships/hyperlink" Target="https://ropsten.etherscan.io/tx/0xd53fba98487ffdf8be3c011950041b813f14125e000fef2f30fa9e9b3f8818f4" TargetMode="External"/><Relationship Id="rId8" Type="http://schemas.openxmlformats.org/officeDocument/2006/relationships/hyperlink" Target="https://rinkeby.etherscan.io/tx/0x80ac743135b9c0d46aec7c2a4ae7f4daa15ede1ddf2c249923b56dfd2190df48" TargetMode="External"/><Relationship Id="rId51" Type="http://schemas.openxmlformats.org/officeDocument/2006/relationships/hyperlink" Target="https://rinkeby.etherscan.io/tx/0xe4d247ba12cd6df2800f57c463e5952fcc54bbabc6c7af3f3814d12a91355a5d" TargetMode="External"/><Relationship Id="rId72" Type="http://schemas.openxmlformats.org/officeDocument/2006/relationships/hyperlink" Target="https://rinkeby.etherscan.io/tx/0xb4459268f102c9d2b3e29a170958a75da2d48f48ee3b185abc49b1d91e20a422" TargetMode="External"/><Relationship Id="rId93" Type="http://schemas.openxmlformats.org/officeDocument/2006/relationships/hyperlink" Target="https://rinkeby.etherscan.io/tx/0x82842ee4d4708138d7ddbdf77793a39fb69ecfccf09d204780d53070e63270a3" TargetMode="External"/><Relationship Id="rId98" Type="http://schemas.openxmlformats.org/officeDocument/2006/relationships/hyperlink" Target="https://rinkeby.etherscan.io/tx/0xd4208987c25d0f475dc190d2c92aae9930bbf8bae0941c052678b5b21c1087b2" TargetMode="External"/><Relationship Id="rId121" Type="http://schemas.openxmlformats.org/officeDocument/2006/relationships/hyperlink" Target="https://rinkeby.etherscan.io/tx/0xd2e21be5c1791b63915f2a52282caf01abe0d904810eec4a1a7335cf038e58ec" TargetMode="External"/><Relationship Id="rId142" Type="http://schemas.openxmlformats.org/officeDocument/2006/relationships/hyperlink" Target="https://rinkeby.etherscan.io/tx/0xfc93597d0ce9630ffef6d69072dd7fa73cfb412388809f29e6ec87161f560ff5" TargetMode="External"/><Relationship Id="rId163" Type="http://schemas.openxmlformats.org/officeDocument/2006/relationships/hyperlink" Target="https://ropsten.etherscan.io/tx/0x20f65b41a7d0ac0dd2756b2ef0f3b6252a41ff7302f6d42b989bff275d34b389" TargetMode="External"/><Relationship Id="rId184" Type="http://schemas.openxmlformats.org/officeDocument/2006/relationships/hyperlink" Target="https://ropsten.etherscan.io/tx/0xc4bc05b73876b475c5eac03d49fd1f0848392365103d979a5a1173d15df1dd64" TargetMode="External"/><Relationship Id="rId189" Type="http://schemas.openxmlformats.org/officeDocument/2006/relationships/hyperlink" Target="https://ropsten.etherscan.io/tx/0xbb3e2b0d4fbd1ec5dc42688f9f11ad8971fcc83db6f286c51b7d1ef0a1f94a1d" TargetMode="External"/><Relationship Id="rId219" Type="http://schemas.openxmlformats.org/officeDocument/2006/relationships/hyperlink" Target="https://ropsten.etherscan.io/tx/0x1ebc211895898c9de50414a6e0e231c77bedd69cd58c4ae013fd9f4647831581" TargetMode="External"/><Relationship Id="rId3" Type="http://schemas.openxmlformats.org/officeDocument/2006/relationships/hyperlink" Target="https://rinkeby.etherscan.io/tx/0xc5a2c89e691c846c3df82df95acd8b223d7abfddc0e491fcd446708b359bbc36" TargetMode="External"/><Relationship Id="rId214" Type="http://schemas.openxmlformats.org/officeDocument/2006/relationships/hyperlink" Target="https://ropsten.etherscan.io/tx/0xb80fb0b7286d47ac9a29512ee4cfdc1908ad51ba24cd9b3dbcedb61d581c90f5" TargetMode="External"/><Relationship Id="rId230" Type="http://schemas.openxmlformats.org/officeDocument/2006/relationships/hyperlink" Target="https://ropsten.etherscan.io/tx/0xe64a289ecab0b7a3e0a021456e201fdc12d32188f85d974e0b5f840509946797" TargetMode="External"/><Relationship Id="rId235" Type="http://schemas.openxmlformats.org/officeDocument/2006/relationships/hyperlink" Target="https://ropsten.etherscan.io/tx/0x740660559fecd929b49b0847fd49ade71b72ee4fe8b93e93e3b449327a6aa859" TargetMode="External"/><Relationship Id="rId251" Type="http://schemas.openxmlformats.org/officeDocument/2006/relationships/printerSettings" Target="../printerSettings/printerSettings1.bin"/><Relationship Id="rId25" Type="http://schemas.openxmlformats.org/officeDocument/2006/relationships/hyperlink" Target="https://rinkeby.etherscan.io/tx/0x05a638b8d013b3a28407c562104b6090394b8695ecea98befb2e9b1d46ba6f70" TargetMode="External"/><Relationship Id="rId46" Type="http://schemas.openxmlformats.org/officeDocument/2006/relationships/hyperlink" Target="https://rinkeby.etherscan.io/tx/0xe7d83df1be81de3ccf52b5e0b937cf09d58e4d7c1ac50715482d2e9f0b64728c" TargetMode="External"/><Relationship Id="rId67" Type="http://schemas.openxmlformats.org/officeDocument/2006/relationships/hyperlink" Target="https://rinkeby.etherscan.io/tx/0x6b35e70a1311286c783e492d760e42975d3dc2558ec0b815375f00c296bce038" TargetMode="External"/><Relationship Id="rId116" Type="http://schemas.openxmlformats.org/officeDocument/2006/relationships/hyperlink" Target="https://rinkeby.etherscan.io/tx/0x29849d59d34a63a533d6c1dcc44362043beb8b8b92ac7a56e93aa5149e5e6234" TargetMode="External"/><Relationship Id="rId137" Type="http://schemas.openxmlformats.org/officeDocument/2006/relationships/hyperlink" Target="https://rinkeby.etherscan.io/tx/0x0a966227045c87bc8c861cb5ad94505042c4788e57593a7038414471ca8e18da" TargetMode="External"/><Relationship Id="rId158" Type="http://schemas.openxmlformats.org/officeDocument/2006/relationships/hyperlink" Target="https://ropsten.etherscan.io/tx/0x52d3e231322b76c1140551d324f66690c016410da4260b4150df247f968aa829" TargetMode="External"/><Relationship Id="rId20" Type="http://schemas.openxmlformats.org/officeDocument/2006/relationships/hyperlink" Target="https://rinkeby.etherscan.io/tx/0xbdd07b9075b651d9faf9396b249104680971b362e7f61e4383aa508d69359ae4" TargetMode="External"/><Relationship Id="rId41" Type="http://schemas.openxmlformats.org/officeDocument/2006/relationships/hyperlink" Target="https://rinkeby.etherscan.io/tx/0x1af6a81ef24affc1a807f23f3f04f0852af61e5a718e50e4ac88afbe0b1c3215" TargetMode="External"/><Relationship Id="rId62" Type="http://schemas.openxmlformats.org/officeDocument/2006/relationships/hyperlink" Target="https://rinkeby.etherscan.io/tx/0xab79bd91d41b202da317808d347659c8762b4258ba0047ac70bb04f20fbce1cf" TargetMode="External"/><Relationship Id="rId83" Type="http://schemas.openxmlformats.org/officeDocument/2006/relationships/hyperlink" Target="https://rinkeby.etherscan.io/tx/0x6053f0f9421d949123ae9561854944b73f90c3d3408ec85ef1b95083b7815dfe" TargetMode="External"/><Relationship Id="rId88" Type="http://schemas.openxmlformats.org/officeDocument/2006/relationships/hyperlink" Target="https://rinkeby.etherscan.io/tx/0x19cbccd5ffa9894c749ae6e01bdf2923cd39a423da40a1aa919c1ea4a92c3d65" TargetMode="External"/><Relationship Id="rId111" Type="http://schemas.openxmlformats.org/officeDocument/2006/relationships/hyperlink" Target="https://rinkeby.etherscan.io/tx/0x41edd34540db6fb7fbc3fc22e83f99f857b3dbc85e4e6049cd62a7cc54f37ab7" TargetMode="External"/><Relationship Id="rId132" Type="http://schemas.openxmlformats.org/officeDocument/2006/relationships/hyperlink" Target="https://rinkeby.etherscan.io/tx/0x6f40238567223063d80858b525ba002c350bcb34926c20dceb7a6ed6d4af0ca2" TargetMode="External"/><Relationship Id="rId153" Type="http://schemas.openxmlformats.org/officeDocument/2006/relationships/hyperlink" Target="https://rinkeby.etherscan.io/tx/0x13075e03938aa4ec7d80e8fc054623bd55cfc6fbc16bc96927cafa1b73d5618c" TargetMode="External"/><Relationship Id="rId174" Type="http://schemas.openxmlformats.org/officeDocument/2006/relationships/hyperlink" Target="https://ropsten.etherscan.io/tx/0x416de92353e79753be70c2c994496c182e37ca2fdf4609b0efddf17465553372" TargetMode="External"/><Relationship Id="rId179" Type="http://schemas.openxmlformats.org/officeDocument/2006/relationships/hyperlink" Target="https://ropsten.etherscan.io/tx/0x87855ad1d0669355b3ecb0efd642b8fa8a3b681f89b6602b1a3fdbd735315d8f" TargetMode="External"/><Relationship Id="rId195" Type="http://schemas.openxmlformats.org/officeDocument/2006/relationships/hyperlink" Target="https://ropsten.etherscan.io/tx/0x2376cdcabfde8898ae7866194879258fa293711353d3379492f0a0c9ec1dbf1e" TargetMode="External"/><Relationship Id="rId209" Type="http://schemas.openxmlformats.org/officeDocument/2006/relationships/hyperlink" Target="https://ropsten.etherscan.io/tx/0x1fd8f341ec4d6611f391834671068f017934c0485e73225745b996bc98b3b9e8" TargetMode="External"/><Relationship Id="rId190" Type="http://schemas.openxmlformats.org/officeDocument/2006/relationships/hyperlink" Target="https://ropsten.etherscan.io/tx/0xa58c3314490b698eed66c74e7fb5e11cbeb32a7e24fc776da6cdac46cfa56530" TargetMode="External"/><Relationship Id="rId204" Type="http://schemas.openxmlformats.org/officeDocument/2006/relationships/hyperlink" Target="https://ropsten.etherscan.io/tx/0x00166a968a0658f91bc161f4c8b4929a0c92b2cc2c37f7aaa8462dcbca986be2" TargetMode="External"/><Relationship Id="rId220" Type="http://schemas.openxmlformats.org/officeDocument/2006/relationships/hyperlink" Target="https://ropsten.etherscan.io/tx/0x09e726e895b28425bc24fbc62bff93f9624239862b1a49a5e431ca2c20f07cd9" TargetMode="External"/><Relationship Id="rId225" Type="http://schemas.openxmlformats.org/officeDocument/2006/relationships/hyperlink" Target="https://ropsten.etherscan.io/tx/0xd9db66e592c8278f30887bb97ae7b0fb4ac5202006762b8e3919984949787fba" TargetMode="External"/><Relationship Id="rId241" Type="http://schemas.openxmlformats.org/officeDocument/2006/relationships/hyperlink" Target="https://ropsten.etherscan.io/tx/0xa1ce2bf9fe39e409b40421d960d72bf18937215f0aa3f77c8369492f875d5906" TargetMode="External"/><Relationship Id="rId246" Type="http://schemas.openxmlformats.org/officeDocument/2006/relationships/hyperlink" Target="https://ropsten.etherscan.io/tx/0x4fa0c8c0c4d07b275d18452a6adab451b14dd7058860e9bfbb8b883799d782e0" TargetMode="External"/><Relationship Id="rId15" Type="http://schemas.openxmlformats.org/officeDocument/2006/relationships/hyperlink" Target="https://rinkeby.etherscan.io/tx/0x22ef68bced3252fc98771a980556081795f891417b03e8ed94a017b0a88fe47b" TargetMode="External"/><Relationship Id="rId36" Type="http://schemas.openxmlformats.org/officeDocument/2006/relationships/hyperlink" Target="https://rinkeby.etherscan.io/tx/0x98064f57e37fceb3c028fffcc92c0c6de846eb56cb7264eed2924085be1bd56a" TargetMode="External"/><Relationship Id="rId57" Type="http://schemas.openxmlformats.org/officeDocument/2006/relationships/hyperlink" Target="https://rinkeby.etherscan.io/tx/0xda99722200e011fd4b662f11a2eab5c67d2f054572305d11ed2c15e1a9472725" TargetMode="External"/><Relationship Id="rId106" Type="http://schemas.openxmlformats.org/officeDocument/2006/relationships/hyperlink" Target="https://rinkeby.etherscan.io/tx/0x6ee6586dbd93d75e92fd3d849ce1fc9059d41b6dd955f4959d26318814e80227" TargetMode="External"/><Relationship Id="rId127" Type="http://schemas.openxmlformats.org/officeDocument/2006/relationships/hyperlink" Target="https://rinkeby.etherscan.io/tx/0xa77e7f958f463e73f10e8cc4de22d54887dbfb53943685af1b94fa7b5ad56198" TargetMode="External"/><Relationship Id="rId10" Type="http://schemas.openxmlformats.org/officeDocument/2006/relationships/hyperlink" Target="https://ropsten.etherscan.io/tx/0xa7eed9d3f879994785580ff1af10a04fa1c3f64be8795d4466fd5d8ebb399019" TargetMode="External"/><Relationship Id="rId31" Type="http://schemas.openxmlformats.org/officeDocument/2006/relationships/hyperlink" Target="https://rinkeby.etherscan.io/tx/0xd3882cc43d7048ec00292f2a1527b317de93d20da633f86c04595a8e76df1505" TargetMode="External"/><Relationship Id="rId52" Type="http://schemas.openxmlformats.org/officeDocument/2006/relationships/hyperlink" Target="https://rinkeby.etherscan.io/tx/0x863307f285ceec0176a17119c37b2eb191cbbe40783f24e34e0c90de2aee441c" TargetMode="External"/><Relationship Id="rId73" Type="http://schemas.openxmlformats.org/officeDocument/2006/relationships/hyperlink" Target="https://rinkeby.etherscan.io/tx/0x6469ae143bf1e9c66ae06d44bf0b1e75def447def1e47665f6b671a2869f2f08" TargetMode="External"/><Relationship Id="rId78" Type="http://schemas.openxmlformats.org/officeDocument/2006/relationships/hyperlink" Target="https://rinkeby.etherscan.io/tx/0x7c41aceccc8427faf22dd04b7768ba923f41fdeb280d6994a44b6c81c36d0805" TargetMode="External"/><Relationship Id="rId94" Type="http://schemas.openxmlformats.org/officeDocument/2006/relationships/hyperlink" Target="https://rinkeby.etherscan.io/tx/0x0364b5b536485a15c4e6b3a93da8e35ab10913bd828e31a4f09d88c386879642" TargetMode="External"/><Relationship Id="rId99" Type="http://schemas.openxmlformats.org/officeDocument/2006/relationships/hyperlink" Target="https://rinkeby.etherscan.io/tx/0x8ec4c6bfcb9671fa34fef852940130ab6b570cc7a8a398ec112b7da93b5479e9" TargetMode="External"/><Relationship Id="rId101" Type="http://schemas.openxmlformats.org/officeDocument/2006/relationships/hyperlink" Target="https://rinkeby.etherscan.io/tx/0xf55cfd39a62a6cac471fdc3393820afd03f01c16c212627b1599d57fe294aa88" TargetMode="External"/><Relationship Id="rId122" Type="http://schemas.openxmlformats.org/officeDocument/2006/relationships/hyperlink" Target="https://rinkeby.etherscan.io/tx/0xecd5cc4a3ae192d2652105ead9d6fc94da20d41e9e86cc0f26fbc031b859f766" TargetMode="External"/><Relationship Id="rId143" Type="http://schemas.openxmlformats.org/officeDocument/2006/relationships/hyperlink" Target="https://rinkeby.etherscan.io/tx/0xc105d9d1bdecdbea37d9ef8f40cfdde9d6557847d90f291eed8c92165d638b03" TargetMode="External"/><Relationship Id="rId148" Type="http://schemas.openxmlformats.org/officeDocument/2006/relationships/hyperlink" Target="https://rinkeby.etherscan.io/tx/0x13cb40b51f9adf0c32e4d850e9fe0d61a9a287a4f5b316357d91749a63161ce8" TargetMode="External"/><Relationship Id="rId164" Type="http://schemas.openxmlformats.org/officeDocument/2006/relationships/hyperlink" Target="https://ropsten.etherscan.io/tx/0x6924d987c4cde62daacf7117819bd8b5e4ff55576314299a60f45edb47952132" TargetMode="External"/><Relationship Id="rId169" Type="http://schemas.openxmlformats.org/officeDocument/2006/relationships/hyperlink" Target="https://ropsten.etherscan.io/tx/0x60a00eeef859c970ee6b232723250e0a2b279886d8f72bcc84d6053a41eeb2d0" TargetMode="External"/><Relationship Id="rId185" Type="http://schemas.openxmlformats.org/officeDocument/2006/relationships/hyperlink" Target="https://ropsten.etherscan.io/tx/0x26d1fd5eb0f01d17e7eca2f1e3a32401ae2680d706186d4c9a98aa1fb6ab1a8c" TargetMode="External"/><Relationship Id="rId4" Type="http://schemas.openxmlformats.org/officeDocument/2006/relationships/hyperlink" Target="https://ropsten.etherscan.io/tx/0xc9d65a04ee78a8e709148067633136d05035958075f42b26cb7f7876b4c464e0" TargetMode="External"/><Relationship Id="rId9" Type="http://schemas.openxmlformats.org/officeDocument/2006/relationships/hyperlink" Target="https://ropsten.etherscan.io/tx/0xb2a24809b51e92fe78ed089848f322960caa87df8ef7e791317a63c231b71ca9" TargetMode="External"/><Relationship Id="rId180" Type="http://schemas.openxmlformats.org/officeDocument/2006/relationships/hyperlink" Target="https://ropsten.etherscan.io/tx/0x11050a1a85834ec81271d8dd66348a71d39e3f57ab9434a6e8af8246ea4a5769" TargetMode="External"/><Relationship Id="rId210" Type="http://schemas.openxmlformats.org/officeDocument/2006/relationships/hyperlink" Target="https://ropsten.etherscan.io/tx/0xaa643e6ff309902adfef8d87167d9b78c0d6794a2975e07b4f4c725ae5a4f2d0" TargetMode="External"/><Relationship Id="rId215" Type="http://schemas.openxmlformats.org/officeDocument/2006/relationships/hyperlink" Target="https://ropsten.etherscan.io/tx/0x2d7796a9ef7c79d382c9b81d4b7a006ecfa38b583f1b7c6363fb053c1f30c54d" TargetMode="External"/><Relationship Id="rId236" Type="http://schemas.openxmlformats.org/officeDocument/2006/relationships/hyperlink" Target="https://ropsten.etherscan.io/tx/0x9bcf5c37993a639b228e79574da8562f9a2fd2fb9427a875e74517294572637a" TargetMode="External"/><Relationship Id="rId26" Type="http://schemas.openxmlformats.org/officeDocument/2006/relationships/hyperlink" Target="https://rinkeby.etherscan.io/tx/0x73b26322a060077810b152e15a73c41254cff76b780c5cefd158eec6504f7889" TargetMode="External"/><Relationship Id="rId231" Type="http://schemas.openxmlformats.org/officeDocument/2006/relationships/hyperlink" Target="https://ropsten.etherscan.io/tx/0xec1b157785d96206bd9a050b59a8e66bfd2a3d8f827e73dce789ec424264a191" TargetMode="External"/><Relationship Id="rId47" Type="http://schemas.openxmlformats.org/officeDocument/2006/relationships/hyperlink" Target="https://rinkeby.etherscan.io/tx/0xd91640b8dfc7052052cc3a2f1cb4cc6d42c6ab69ed5a0f23eb7999a1e5809a8c" TargetMode="External"/><Relationship Id="rId68" Type="http://schemas.openxmlformats.org/officeDocument/2006/relationships/hyperlink" Target="https://rinkeby.etherscan.io/tx/0x49a7b4b628ba3d5580e71429d9ea4daf8487598f193a91c2b2b195983d792aeb" TargetMode="External"/><Relationship Id="rId89" Type="http://schemas.openxmlformats.org/officeDocument/2006/relationships/hyperlink" Target="https://rinkeby.etherscan.io/tx/0x943e5ab1fef40330480d6086fcfbe0d468c90f7096677e8b07c27e5d2164d854" TargetMode="External"/><Relationship Id="rId112" Type="http://schemas.openxmlformats.org/officeDocument/2006/relationships/hyperlink" Target="https://rinkeby.etherscan.io/tx/0x5fd2f1870a2b0fe726759325056bf9d891d981b00a424447ef59afadf7edfb0a" TargetMode="External"/><Relationship Id="rId133" Type="http://schemas.openxmlformats.org/officeDocument/2006/relationships/hyperlink" Target="https://rinkeby.etherscan.io/tx/0xaf68c61d4a0abd046e2032e82c6eb7defb2d2c31c29e4506dc1927df442928b4" TargetMode="External"/><Relationship Id="rId154" Type="http://schemas.openxmlformats.org/officeDocument/2006/relationships/hyperlink" Target="https://rinkeby.etherscan.io/tx/0x14a2a07c78bad78648667a680f335852dc96fe4ae6a78daee9b63cda896e23e4" TargetMode="External"/><Relationship Id="rId175" Type="http://schemas.openxmlformats.org/officeDocument/2006/relationships/hyperlink" Target="https://ropsten.etherscan.io/tx/0x1889d2ad2f2d4050f1ceecdb3c4ba36c00de69a0353f3ea5fc08a0e09850d315" TargetMode="External"/><Relationship Id="rId196" Type="http://schemas.openxmlformats.org/officeDocument/2006/relationships/hyperlink" Target="https://ropsten.etherscan.io/tx/0x14edc6f32939d74610919e866b0774c876665dca43afef027dabc3d6f66e2b58" TargetMode="External"/><Relationship Id="rId200" Type="http://schemas.openxmlformats.org/officeDocument/2006/relationships/hyperlink" Target="https://ropsten.etherscan.io/tx/0xb7826a6669b375b1778cf77020654eacee93fbeae5000f185d74b59e519c5c53" TargetMode="External"/><Relationship Id="rId16" Type="http://schemas.openxmlformats.org/officeDocument/2006/relationships/hyperlink" Target="https://rinkeby.etherscan.io/tx/0xce094f65960b2325267110c6850631f20153ad63469b9a9d60ab588e39b0c260" TargetMode="External"/><Relationship Id="rId221" Type="http://schemas.openxmlformats.org/officeDocument/2006/relationships/hyperlink" Target="https://ropsten.etherscan.io/tx/0x630a36214969dbf67b2ef0156c353ccf72431f62439024ca0b5bdbd3d80a5c1a" TargetMode="External"/><Relationship Id="rId242" Type="http://schemas.openxmlformats.org/officeDocument/2006/relationships/hyperlink" Target="https://ropsten.etherscan.io/tx/0xb3b137c858bce721093f1eec1d9edede372a5ef090f01a3898db7487f3389f8b" TargetMode="External"/><Relationship Id="rId37" Type="http://schemas.openxmlformats.org/officeDocument/2006/relationships/hyperlink" Target="https://rinkeby.etherscan.io/tx/0x92dc8a521b801044ab83ccc3c002e8d496dd797716897582ab61146c75419459" TargetMode="External"/><Relationship Id="rId58" Type="http://schemas.openxmlformats.org/officeDocument/2006/relationships/hyperlink" Target="https://rinkeby.etherscan.io/tx/0xe24b14fa1fd2d8d5bde17cdaf3076a721048db8e382fff6d6ff39c86c5196107" TargetMode="External"/><Relationship Id="rId79" Type="http://schemas.openxmlformats.org/officeDocument/2006/relationships/hyperlink" Target="https://rinkeby.etherscan.io/tx/0x2aaac53babb500034d9f78459370e7c17b87359aae6811062494cc0a89c1a8db" TargetMode="External"/><Relationship Id="rId102" Type="http://schemas.openxmlformats.org/officeDocument/2006/relationships/hyperlink" Target="https://rinkeby.etherscan.io/tx/0xd75277dcda7f13647e9068dc136dd082d73ef9116f6ec78b4422b0bf94119e6e" TargetMode="External"/><Relationship Id="rId123" Type="http://schemas.openxmlformats.org/officeDocument/2006/relationships/hyperlink" Target="https://rinkeby.etherscan.io/tx/0xa7c1853f940b83e1d7265917f5018cf8db8f05df58de580f92bba9ce98d9e0dd" TargetMode="External"/><Relationship Id="rId144" Type="http://schemas.openxmlformats.org/officeDocument/2006/relationships/hyperlink" Target="https://rinkeby.etherscan.io/tx/0x30f5008dd0584c06ef27784ce3b1f62ba7ef83d0fc67934f446e02eef06810a6" TargetMode="External"/><Relationship Id="rId90" Type="http://schemas.openxmlformats.org/officeDocument/2006/relationships/hyperlink" Target="https://rinkeby.etherscan.io/tx/0x4109b6a7344c159de008f2b1e9692fca82f279fedafce8cfd9d1397f821c8dda" TargetMode="External"/><Relationship Id="rId165" Type="http://schemas.openxmlformats.org/officeDocument/2006/relationships/hyperlink" Target="https://ropsten.etherscan.io/tx/0xa5d340114cec4ec38b547efcbd379eaeda3d7c7c70ab5dff7002a5460bec7745" TargetMode="External"/><Relationship Id="rId186" Type="http://schemas.openxmlformats.org/officeDocument/2006/relationships/hyperlink" Target="https://ropsten.etherscan.io/tx/0x00e92f76b58de9e5f5f53fe8d63d0aa7309fc4d660d36742b4569df538a02722" TargetMode="External"/><Relationship Id="rId211" Type="http://schemas.openxmlformats.org/officeDocument/2006/relationships/hyperlink" Target="https://ropsten.etherscan.io/tx/0x98608342315a066da9c74fc69da1dbfbbc62d27fa3ffa0f51f7e50fb2534d871" TargetMode="External"/><Relationship Id="rId232" Type="http://schemas.openxmlformats.org/officeDocument/2006/relationships/hyperlink" Target="https://ropsten.etherscan.io/tx/0xc150c65285f2faa694ee021c8515af768da962e528089d7bc2c5c1bd403b7f92" TargetMode="External"/><Relationship Id="rId27" Type="http://schemas.openxmlformats.org/officeDocument/2006/relationships/hyperlink" Target="https://rinkeby.etherscan.io/tx/0xc28a6bf9cd33a865b374a7946958c8022d309e7ff762a17b9d0450d7e0473228" TargetMode="External"/><Relationship Id="rId48" Type="http://schemas.openxmlformats.org/officeDocument/2006/relationships/hyperlink" Target="https://rinkeby.etherscan.io/tx/0x2ab9b78e98a36e2fc384e2b7c3ab38d58f773772233c6d6bbb8251cdf3dd3986" TargetMode="External"/><Relationship Id="rId69" Type="http://schemas.openxmlformats.org/officeDocument/2006/relationships/hyperlink" Target="https://rinkeby.etherscan.io/tx/0x0689e94f92be50ad82717fdba53ae7b311c1e6ecc96619e018f377f5ce2be0e7" TargetMode="External"/><Relationship Id="rId113" Type="http://schemas.openxmlformats.org/officeDocument/2006/relationships/hyperlink" Target="https://rinkeby.etherscan.io/tx/0x09311545c6d01eb1d4189a4b1e972d253a29a34b24cbe4c74ecc7c607f84c37d" TargetMode="External"/><Relationship Id="rId134" Type="http://schemas.openxmlformats.org/officeDocument/2006/relationships/hyperlink" Target="https://rinkeby.etherscan.io/tx/0x954a41da720872e85b8d5990b5bcd5fc762369ce2fa843d04f6a06f535304e00" TargetMode="External"/><Relationship Id="rId80" Type="http://schemas.openxmlformats.org/officeDocument/2006/relationships/hyperlink" Target="https://rinkeby.etherscan.io/tx/0x2e9835731c766362f778b8ada9e35b1d0f815b1ebfceed019f2d24be51cc650f" TargetMode="External"/><Relationship Id="rId155" Type="http://schemas.openxmlformats.org/officeDocument/2006/relationships/hyperlink" Target="https://rinkeby.etherscan.io/tx/0x7f86157ff97222e03fb996ec1dfd3db5376476e68b5e7a7ddb7906afa9ad25b5" TargetMode="External"/><Relationship Id="rId176" Type="http://schemas.openxmlformats.org/officeDocument/2006/relationships/hyperlink" Target="https://ropsten.etherscan.io/tx/0x82db38ad661705dcee018ceaaceeed7a32c57cc023a8bd9dd076afae0eb947dc" TargetMode="External"/><Relationship Id="rId197" Type="http://schemas.openxmlformats.org/officeDocument/2006/relationships/hyperlink" Target="https://ropsten.etherscan.io/tx/0xc622b6b1334b2128097e7848b7d7271223af786e4f4bf5bf2c8783208e58f95f" TargetMode="External"/><Relationship Id="rId201" Type="http://schemas.openxmlformats.org/officeDocument/2006/relationships/hyperlink" Target="https://ropsten.etherscan.io/tx/0xeae176677a325f6b6a1479641cc12972711b11df1e5de66b41ffed3b856f697e" TargetMode="External"/><Relationship Id="rId222" Type="http://schemas.openxmlformats.org/officeDocument/2006/relationships/hyperlink" Target="https://ropsten.etherscan.io/tx/0x6413e2c4f92babd2fe7b278f322aad24960e7271d7067c76e562cd8b9090471b" TargetMode="External"/><Relationship Id="rId243" Type="http://schemas.openxmlformats.org/officeDocument/2006/relationships/hyperlink" Target="https://ropsten.etherscan.io/tx/0x83739751e4ca43a2c8560b12237d0473dfa25e1f7b7dc2e2eb14458f90246706" TargetMode="Externa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ropsten.etherscan.io/tx/0x301f91811bbba54145e4e416adc29262ddfc89ec6b70b316dcc4fe02e01ec45e" TargetMode="External"/><Relationship Id="rId21" Type="http://schemas.openxmlformats.org/officeDocument/2006/relationships/hyperlink" Target="https://ropsten.etherscan.io/tx/0x4c2f3d3134f12162b5657343b50c5ee34200ca5a9b1f6ad6a9b2ebbbfbcba7d8" TargetMode="External"/><Relationship Id="rId42" Type="http://schemas.openxmlformats.org/officeDocument/2006/relationships/hyperlink" Target="https://ropsten.etherscan.io/tx/0xac458256ccac38f1e18e3bf8d5513aa47d6799e5ec7fddd0ebf11f97a94a8879" TargetMode="External"/><Relationship Id="rId63" Type="http://schemas.openxmlformats.org/officeDocument/2006/relationships/hyperlink" Target="https://ropsten.etherscan.io/tx/0x3f994a0a2bd86b34985c7d1097e8012ded0458f3ac9173032c8204f46fbfe05d" TargetMode="External"/><Relationship Id="rId84" Type="http://schemas.openxmlformats.org/officeDocument/2006/relationships/hyperlink" Target="https://ropsten.etherscan.io/tx/0x12e814883537cdae39382bf1ac7e9300dc0cf88600db1ec89f4110b20c308784" TargetMode="External"/><Relationship Id="rId138" Type="http://schemas.openxmlformats.org/officeDocument/2006/relationships/hyperlink" Target="https://ropsten.etherscan.io/tx/0x09a59616aa1cc78b2ee3e61abe72c02793f678ac11325751b5b4daec8330bc2a" TargetMode="External"/><Relationship Id="rId159" Type="http://schemas.openxmlformats.org/officeDocument/2006/relationships/hyperlink" Target="https://rinkeby.etherscan.io/tx/0x24b97cc50a406c4f81d6798d5f856c337cf31b060a0eb2df0f5ca49812a9359b" TargetMode="External"/><Relationship Id="rId170" Type="http://schemas.openxmlformats.org/officeDocument/2006/relationships/hyperlink" Target="https://rinkeby.etherscan.io/tx/0xca0dca4ce8d1b8c960208b1d51c0c11a83caf441fb307ffec14839166b40d0eb" TargetMode="External"/><Relationship Id="rId191" Type="http://schemas.openxmlformats.org/officeDocument/2006/relationships/hyperlink" Target="https://rinkeby.etherscan.io/tx/0x46f26f136f968392a0f1ac7f77c225b95e5aa7ce315419922e51704d0964911b" TargetMode="External"/><Relationship Id="rId205" Type="http://schemas.openxmlformats.org/officeDocument/2006/relationships/hyperlink" Target="https://rinkeby.etherscan.io/tx/0xada97b6846feaf0376457f3a25e51bbc1ee0081aa43b62a425fbe7fb25674007" TargetMode="External"/><Relationship Id="rId226" Type="http://schemas.openxmlformats.org/officeDocument/2006/relationships/hyperlink" Target="https://rinkeby.etherscan.io/tx/0xcd992787a0d622cfebbc38935975f5dbb204f1bcf6a4e8b77bccc7e4c5becfa7" TargetMode="External"/><Relationship Id="rId247" Type="http://schemas.openxmlformats.org/officeDocument/2006/relationships/hyperlink" Target="https://rinkeby.etherscan.io/tx/0xca8f9673c40bfac91d230e6bc74c3f3e1f861cee4cd628ba92aa02a5db92feb8" TargetMode="External"/><Relationship Id="rId107" Type="http://schemas.openxmlformats.org/officeDocument/2006/relationships/hyperlink" Target="https://ropsten.etherscan.io/tx/0x03a7f461db2ef3bba8f10bb91ae7318ce1f66e011e2f51ccfe6489511f43557b" TargetMode="External"/><Relationship Id="rId11" Type="http://schemas.openxmlformats.org/officeDocument/2006/relationships/hyperlink" Target="https://ropsten.etherscan.io/tx/0x6ffbe3518f7779a60e0ad3c32bc9dd0c6d645fee408b575098e0a196a1b3256e" TargetMode="External"/><Relationship Id="rId32" Type="http://schemas.openxmlformats.org/officeDocument/2006/relationships/hyperlink" Target="https://ropsten.etherscan.io/tx/0x637579c4678bc8b8ce42ee4ddd43d1f7857cf063f372772c538aa51a6cab2902" TargetMode="External"/><Relationship Id="rId53" Type="http://schemas.openxmlformats.org/officeDocument/2006/relationships/hyperlink" Target="https://ropsten.etherscan.io/tx/0x96cf8352423230f6074befceacbdab226e05ccb1ce47d06a3a8fbef63efb2e29" TargetMode="External"/><Relationship Id="rId74" Type="http://schemas.openxmlformats.org/officeDocument/2006/relationships/hyperlink" Target="https://ropsten.etherscan.io/tx/0x2262486c382f625753ed53301adb2d3cb62e30f6b4295c2ddcd2006035e59ee6" TargetMode="External"/><Relationship Id="rId128" Type="http://schemas.openxmlformats.org/officeDocument/2006/relationships/hyperlink" Target="https://ropsten.etherscan.io/tx/0xc0b694ab50764bb8fd40e95e150b6075f93f16a73d9d9e1be6c492c7b66d5f06" TargetMode="External"/><Relationship Id="rId149" Type="http://schemas.openxmlformats.org/officeDocument/2006/relationships/hyperlink" Target="https://ropsten.etherscan.io/tx/0x2f0a56e5078de7872e7bde0b31c6a8edb70449078f54c24018705a2ad43e60d9" TargetMode="External"/><Relationship Id="rId5" Type="http://schemas.openxmlformats.org/officeDocument/2006/relationships/hyperlink" Target="https://ropsten.etherscan.io/tx/0x1c92acd2345272ed2ab16cd1081b73ec6367d20caac34ae266216a8ada145c52" TargetMode="External"/><Relationship Id="rId95" Type="http://schemas.openxmlformats.org/officeDocument/2006/relationships/hyperlink" Target="https://ropsten.etherscan.io/tx/0x6b773a9aeaf04f640b05edecaf4d846f0163526c515b13cdaf6010363c649545" TargetMode="External"/><Relationship Id="rId160" Type="http://schemas.openxmlformats.org/officeDocument/2006/relationships/hyperlink" Target="https://rinkeby.etherscan.io/tx/0x1ebcfad5bea8d41edee8df45a910d4b07a50978eb29a0530a82e31a06ff73b70" TargetMode="External"/><Relationship Id="rId181" Type="http://schemas.openxmlformats.org/officeDocument/2006/relationships/hyperlink" Target="https://rinkeby.etherscan.io/tx/0x9262ae809c11d099c380aaba4b4ac296237e0703bd5dde695154bb6add891b29" TargetMode="External"/><Relationship Id="rId216" Type="http://schemas.openxmlformats.org/officeDocument/2006/relationships/hyperlink" Target="https://rinkeby.etherscan.io/tx/0x0acb54f71171a5b8d419fbe30338ef592d33f3f2c7e27f718010cbe74eb5620a" TargetMode="External"/><Relationship Id="rId237" Type="http://schemas.openxmlformats.org/officeDocument/2006/relationships/hyperlink" Target="https://rinkeby.etherscan.io/tx/0x0e4fb0c462cac83f7c19b2378f4cab006b0b1390cae65c4dc88a4b1d1c3e506d" TargetMode="External"/><Relationship Id="rId22" Type="http://schemas.openxmlformats.org/officeDocument/2006/relationships/hyperlink" Target="https://ropsten.etherscan.io/tx/0xf3a4e0d9689afcbfff2e8bdeafe1ae0404ab1f8b203c3192967a1ec764cb3345" TargetMode="External"/><Relationship Id="rId43" Type="http://schemas.openxmlformats.org/officeDocument/2006/relationships/hyperlink" Target="https://ropsten.etherscan.io/tx/0x94c4ea4d1fa8f27a3558896e33abe5cf9b110d8a00c773f38458639c9765e5a4" TargetMode="External"/><Relationship Id="rId64" Type="http://schemas.openxmlformats.org/officeDocument/2006/relationships/hyperlink" Target="https://ropsten.etherscan.io/tx/0x60b3cc7c5326f3f689ddb5fee0c29c6cb02c482cb39af1d52cc22c6242e64d49" TargetMode="External"/><Relationship Id="rId118" Type="http://schemas.openxmlformats.org/officeDocument/2006/relationships/hyperlink" Target="https://ropsten.etherscan.io/tx/0x4270e68352d471588b540fe7ba551cfcaec605ede720a37f07b3090dce5cd9ce" TargetMode="External"/><Relationship Id="rId139" Type="http://schemas.openxmlformats.org/officeDocument/2006/relationships/hyperlink" Target="https://ropsten.etherscan.io/tx/0x9a84add073c20f908af7301fcf2cd24893232c9506389e4f265be377d94b7df1" TargetMode="External"/><Relationship Id="rId85" Type="http://schemas.openxmlformats.org/officeDocument/2006/relationships/hyperlink" Target="https://ropsten.etherscan.io/tx/0x20f081fdc468909ee9e39118f3b39cd2f33ba837c4d1728eeffa76b6538edd50" TargetMode="External"/><Relationship Id="rId150" Type="http://schemas.openxmlformats.org/officeDocument/2006/relationships/hyperlink" Target="https://ropsten.etherscan.io/tx/0x6ed311df9977f3224a3b1b5455e0b205c74e861d005073a27b4b5e43cbeaaef9" TargetMode="External"/><Relationship Id="rId171" Type="http://schemas.openxmlformats.org/officeDocument/2006/relationships/hyperlink" Target="https://rinkeby.etherscan.io/tx/0x73f914d66c44d247057db8a1dae5de0a8c006ff4646f6e766db41f2a852e87d7" TargetMode="External"/><Relationship Id="rId192" Type="http://schemas.openxmlformats.org/officeDocument/2006/relationships/hyperlink" Target="https://rinkeby.etherscan.io/tx/0x0a2c4071b7741cfa96524e29983bb549a7816dddfff6538426fbd5b261a21fe3" TargetMode="External"/><Relationship Id="rId206" Type="http://schemas.openxmlformats.org/officeDocument/2006/relationships/hyperlink" Target="https://rinkeby.etherscan.io/tx/0x4f1966683d84116d78103419d460dfef21192e3571cf6d72804f4f70f2a8b92a" TargetMode="External"/><Relationship Id="rId227" Type="http://schemas.openxmlformats.org/officeDocument/2006/relationships/hyperlink" Target="https://rinkeby.etherscan.io/tx/0xdf2c21201784efb4f1e17747fb7e266227f75b8276243d20943ad0a482cd903a" TargetMode="External"/><Relationship Id="rId248" Type="http://schemas.openxmlformats.org/officeDocument/2006/relationships/hyperlink" Target="https://rinkeby.etherscan.io/tx/0x10963f4d271c96ed0bfbff53cfaeb0ff0401d0e6f2fadaab37261fed04da404f" TargetMode="External"/><Relationship Id="rId12" Type="http://schemas.openxmlformats.org/officeDocument/2006/relationships/hyperlink" Target="https://ropsten.etherscan.io/tx/0x9e6adf19670b1ebe01ad9fbad3adb6d095344de09cb88ff5e50279f6573a33a4" TargetMode="External"/><Relationship Id="rId17" Type="http://schemas.openxmlformats.org/officeDocument/2006/relationships/hyperlink" Target="https://ropsten.etherscan.io/tx/0x97588e4a3c1eaafb5c2595814636ffdbdc2968f3c87142be08e33034716d425e" TargetMode="External"/><Relationship Id="rId33" Type="http://schemas.openxmlformats.org/officeDocument/2006/relationships/hyperlink" Target="https://ropsten.etherscan.io/tx/0x861328163ba997dac05dbd5f490a3879697eae234ea7d91ddb2bb2dee66fc588" TargetMode="External"/><Relationship Id="rId38" Type="http://schemas.openxmlformats.org/officeDocument/2006/relationships/hyperlink" Target="https://ropsten.etherscan.io/tx/0x46aee64005b20fa9c0c6bc50cc2594a357e02436fec63994c73a4ed4ceebedea" TargetMode="External"/><Relationship Id="rId59" Type="http://schemas.openxmlformats.org/officeDocument/2006/relationships/hyperlink" Target="https://ropsten.etherscan.io/tx/0x54f98ba28a036336ecedd19c06af673087beba75c4af6d0594976004c029f524" TargetMode="External"/><Relationship Id="rId103" Type="http://schemas.openxmlformats.org/officeDocument/2006/relationships/hyperlink" Target="https://ropsten.etherscan.io/tx/0x88b28a90366795655dbcd38dfc1cbd74dade00211b1261ad75532ea56c1dacf0" TargetMode="External"/><Relationship Id="rId108" Type="http://schemas.openxmlformats.org/officeDocument/2006/relationships/hyperlink" Target="https://ropsten.etherscan.io/tx/0x80360cccc576ee7248ac358db8855450f7dac6e2932b3f99568e236df43e07ae" TargetMode="External"/><Relationship Id="rId124" Type="http://schemas.openxmlformats.org/officeDocument/2006/relationships/hyperlink" Target="https://ropsten.etherscan.io/tx/0x05deaa2121fe3abe878e43f29c70b97bf478b7510d6554a5adf9e571b21a5cc2" TargetMode="External"/><Relationship Id="rId129" Type="http://schemas.openxmlformats.org/officeDocument/2006/relationships/hyperlink" Target="https://ropsten.etherscan.io/tx/0x6dbeae5216f697cd2f40dac541e649e4df92e7bccc57fb650fba31f6bce33ac6" TargetMode="External"/><Relationship Id="rId54" Type="http://schemas.openxmlformats.org/officeDocument/2006/relationships/hyperlink" Target="https://ropsten.etherscan.io/tx/0x42e84a7069e8824863c9fbed4abca37b6a6be4227bbc97a1825d4394927abc3b" TargetMode="External"/><Relationship Id="rId70" Type="http://schemas.openxmlformats.org/officeDocument/2006/relationships/hyperlink" Target="https://ropsten.etherscan.io/tx/0x4e2c253475b4a2e9cd0da896f524b15364f2142959b6bcac83473d0aca1c4600" TargetMode="External"/><Relationship Id="rId75" Type="http://schemas.openxmlformats.org/officeDocument/2006/relationships/hyperlink" Target="https://ropsten.etherscan.io/tx/0x5b7c781d177d5f66f4b8c8cba9856fb220374796d2866d7155d2644c72455f5b" TargetMode="External"/><Relationship Id="rId91" Type="http://schemas.openxmlformats.org/officeDocument/2006/relationships/hyperlink" Target="https://ropsten.etherscan.io/tx/0x937e04815b4d81b167eb2ca7c4f2a85893918d4868548a4c7f919ea957500842" TargetMode="External"/><Relationship Id="rId96" Type="http://schemas.openxmlformats.org/officeDocument/2006/relationships/hyperlink" Target="https://ropsten.etherscan.io/tx/0x0cdba759401c105ccb7d8819ac0ffe21a24b309bfb96271d0b782201bc31b66d" TargetMode="External"/><Relationship Id="rId140" Type="http://schemas.openxmlformats.org/officeDocument/2006/relationships/hyperlink" Target="https://ropsten.etherscan.io/tx/0x6bf9f6e45c48bd19af39efacedb0abed86b9beb8cc9eac9ed361cc8f77fcb78a" TargetMode="External"/><Relationship Id="rId145" Type="http://schemas.openxmlformats.org/officeDocument/2006/relationships/hyperlink" Target="https://ropsten.etherscan.io/tx/0x22e5b602e6071c4d28fc5e73beef5d088e60876c6071c2f2a66f958251995bdc" TargetMode="External"/><Relationship Id="rId161" Type="http://schemas.openxmlformats.org/officeDocument/2006/relationships/hyperlink" Target="https://rinkeby.etherscan.io/tx/0x8856b2ecbc9527ce39922fd7182654e90d69702c5b90eb841b7faa6fd2b8ea16" TargetMode="External"/><Relationship Id="rId166" Type="http://schemas.openxmlformats.org/officeDocument/2006/relationships/hyperlink" Target="https://rinkeby.etherscan.io/tx/0xf9070096f73a7133a44c8ce8e3988838ec747fc459024880712383447bda6ebd" TargetMode="External"/><Relationship Id="rId182" Type="http://schemas.openxmlformats.org/officeDocument/2006/relationships/hyperlink" Target="https://rinkeby.etherscan.io/tx/0x80757ba4cffbaf3491ceb4aaf9c377ad5431443e43d5f016ce4a9cbeb5c6959e" TargetMode="External"/><Relationship Id="rId187" Type="http://schemas.openxmlformats.org/officeDocument/2006/relationships/hyperlink" Target="https://rinkeby.etherscan.io/tx/0xd1d669c6b30383eac8bb0f199dd9580d2056f4c44811c677621c96d4bd2cabbc" TargetMode="External"/><Relationship Id="rId217" Type="http://schemas.openxmlformats.org/officeDocument/2006/relationships/hyperlink" Target="https://rinkeby.etherscan.io/tx/0x3e6cedb375a1710bb1cd94777a44c20fec912b37e0eaebf289871755b7d73ee9" TargetMode="External"/><Relationship Id="rId1" Type="http://schemas.openxmlformats.org/officeDocument/2006/relationships/hyperlink" Target="https://ropsten.etherscan.io/tx/0x54fcb6ae4ae2fc9a556bba3bc9937793bce4a3a2fed783ea37dd1252ee2abfa5" TargetMode="External"/><Relationship Id="rId6" Type="http://schemas.openxmlformats.org/officeDocument/2006/relationships/hyperlink" Target="https://ropsten.etherscan.io/tx/0xd894a760a4a266541c4e515137441f5abe845656a73bc372e7e24d69bf19a1af" TargetMode="External"/><Relationship Id="rId212" Type="http://schemas.openxmlformats.org/officeDocument/2006/relationships/hyperlink" Target="https://rinkeby.etherscan.io/tx/0x0ab49e5ed2fcfd88c02ee02611538382df8b23c842a3907810209a0b149224e7" TargetMode="External"/><Relationship Id="rId233" Type="http://schemas.openxmlformats.org/officeDocument/2006/relationships/hyperlink" Target="https://rinkeby.etherscan.io/tx/0x53c0246a726bc45c68db562f14de001caab7df1ab465554596999581261abc4b" TargetMode="External"/><Relationship Id="rId238" Type="http://schemas.openxmlformats.org/officeDocument/2006/relationships/hyperlink" Target="https://rinkeby.etherscan.io/tx/0xe377c33047d6b6890f186dc395120a9f3770967ae92e6c73c2b9ecd794997103" TargetMode="External"/><Relationship Id="rId23" Type="http://schemas.openxmlformats.org/officeDocument/2006/relationships/hyperlink" Target="https://ropsten.etherscan.io/tx/0x13871ed71d84ab64c95211c4a07a29f2a472b3dee0f55da16608631a62f7c532" TargetMode="External"/><Relationship Id="rId28" Type="http://schemas.openxmlformats.org/officeDocument/2006/relationships/hyperlink" Target="https://ropsten.etherscan.io/tx/0x1ce5db8af603657d1ad438cd21ae341c380cc81e9210254b4eaa4854f26a95df" TargetMode="External"/><Relationship Id="rId49" Type="http://schemas.openxmlformats.org/officeDocument/2006/relationships/hyperlink" Target="https://ropsten.etherscan.io/tx/0x176375f27b62a355a377251c84452865194cd3d5422866ada87c26757f287500" TargetMode="External"/><Relationship Id="rId114" Type="http://schemas.openxmlformats.org/officeDocument/2006/relationships/hyperlink" Target="https://ropsten.etherscan.io/tx/0xc69d2e4d16939dad56e333ae0211259132bcf5e7dd07393bae43f4de1c505855" TargetMode="External"/><Relationship Id="rId119" Type="http://schemas.openxmlformats.org/officeDocument/2006/relationships/hyperlink" Target="https://ropsten.etherscan.io/tx/0x5d34cc0dc5bb4c9c0e05e181d5894fe30b9569f68387a3b7a1f3c8dce1b39b1d" TargetMode="External"/><Relationship Id="rId44" Type="http://schemas.openxmlformats.org/officeDocument/2006/relationships/hyperlink" Target="https://ropsten.etherscan.io/tx/0xe32ae755b6f44aa54e8ff314efc0f92eec6072a2462888a0cc466192a4c7d148" TargetMode="External"/><Relationship Id="rId60" Type="http://schemas.openxmlformats.org/officeDocument/2006/relationships/hyperlink" Target="https://ropsten.etherscan.io/tx/0xf32207abe14aaf660491222fa450eb6de5b87b995e02996aa2369c4720b17e25" TargetMode="External"/><Relationship Id="rId65" Type="http://schemas.openxmlformats.org/officeDocument/2006/relationships/hyperlink" Target="https://ropsten.etherscan.io/tx/0x2f8a32f85f8cbdbaf19da622016410425ddcebbb2e6eeef764ff541046ffffb6" TargetMode="External"/><Relationship Id="rId81" Type="http://schemas.openxmlformats.org/officeDocument/2006/relationships/hyperlink" Target="https://ropsten.etherscan.io/tx/0x2a4e08937bc85005b4f9bbfe63c99b0097932b0fd0473369728611760b098d76" TargetMode="External"/><Relationship Id="rId86" Type="http://schemas.openxmlformats.org/officeDocument/2006/relationships/hyperlink" Target="https://ropsten.etherscan.io/tx/0x3c58a9cd10ecfa080ef64b75b483921fc6c34ec4776977c3cedbb392e99d391b" TargetMode="External"/><Relationship Id="rId130" Type="http://schemas.openxmlformats.org/officeDocument/2006/relationships/hyperlink" Target="https://ropsten.etherscan.io/tx/0x1767fc6a7508f4a26d16bf8d8b947e438e7c49294be029b3352b8cda49c9ff8f" TargetMode="External"/><Relationship Id="rId135" Type="http://schemas.openxmlformats.org/officeDocument/2006/relationships/hyperlink" Target="https://ropsten.etherscan.io/tx/0x11ebd8358d8b450269dc4396022ccf07340f0a592c39b1640df4c8d0fde5d40d" TargetMode="External"/><Relationship Id="rId151" Type="http://schemas.openxmlformats.org/officeDocument/2006/relationships/hyperlink" Target="https://ropsten.etherscan.io/tx/0x61eb49b6a652b43b5707c371028ff0ef267a7e1a0cd36842c19cbf4d1137c667" TargetMode="External"/><Relationship Id="rId156" Type="http://schemas.openxmlformats.org/officeDocument/2006/relationships/hyperlink" Target="https://rinkeby.etherscan.io/tx/0x8fb63b69381f9bec43ee88152f6b904d438f23b0e794f416a983e90e273f0b7c" TargetMode="External"/><Relationship Id="rId177" Type="http://schemas.openxmlformats.org/officeDocument/2006/relationships/hyperlink" Target="https://rinkeby.etherscan.io/tx/0xcb2c83ea5fe7c6453e725cd32c52018153a4ad7a267adcb1b83182a7894f0b6d" TargetMode="External"/><Relationship Id="rId198" Type="http://schemas.openxmlformats.org/officeDocument/2006/relationships/hyperlink" Target="https://rinkeby.etherscan.io/tx/0x84f4bfd708a42534b7a8f05355288d1860683cdecea15a1ed5bb1d90a1a71484" TargetMode="External"/><Relationship Id="rId172" Type="http://schemas.openxmlformats.org/officeDocument/2006/relationships/hyperlink" Target="https://rinkeby.etherscan.io/tx/0x1fd1a37d027f870969760d41b552d34dfec616cc0bb8a62795f8fe960ee9fdef" TargetMode="External"/><Relationship Id="rId193" Type="http://schemas.openxmlformats.org/officeDocument/2006/relationships/hyperlink" Target="https://rinkeby.etherscan.io/tx/0xed9f522dbc516d30303aea0357c215dcdc4b630c1febe05c058e990499912fb7" TargetMode="External"/><Relationship Id="rId202" Type="http://schemas.openxmlformats.org/officeDocument/2006/relationships/hyperlink" Target="https://rinkeby.etherscan.io/tx/0xfe3825a58dfe847ea244f15eacff88f5c7d437493b892a1bf710e8fe67f199c9" TargetMode="External"/><Relationship Id="rId207" Type="http://schemas.openxmlformats.org/officeDocument/2006/relationships/hyperlink" Target="https://rinkeby.etherscan.io/tx/0x20bd322b1a240ccfade20bfe0fe15decb7ea9d61c06da2e3f37903b01f3f9de3" TargetMode="External"/><Relationship Id="rId223" Type="http://schemas.openxmlformats.org/officeDocument/2006/relationships/hyperlink" Target="https://rinkeby.etherscan.io/tx/0x120125f0c82a07d152cea4a6a507560e83cc9b0cd4da94ceafb10ae47346189e" TargetMode="External"/><Relationship Id="rId228" Type="http://schemas.openxmlformats.org/officeDocument/2006/relationships/hyperlink" Target="https://rinkeby.etherscan.io/tx/0xaf6223e760d9d5a0d6f8a6232d38cd58cdb01d0e3d30b81de2a6f1f527e27b32" TargetMode="External"/><Relationship Id="rId244" Type="http://schemas.openxmlformats.org/officeDocument/2006/relationships/hyperlink" Target="https://rinkeby.etherscan.io/tx/0xb5249103bc044a0dd3e5d988508ffc04b76a69932404658e16770a045beb583b" TargetMode="External"/><Relationship Id="rId249" Type="http://schemas.openxmlformats.org/officeDocument/2006/relationships/printerSettings" Target="../printerSettings/printerSettings2.bin"/><Relationship Id="rId13" Type="http://schemas.openxmlformats.org/officeDocument/2006/relationships/hyperlink" Target="https://ropsten.etherscan.io/tx/0xbefd4b78ece255f94ea77f2321baffb8ee7131e641d30a1d0a1e087fb9418c3b" TargetMode="External"/><Relationship Id="rId18" Type="http://schemas.openxmlformats.org/officeDocument/2006/relationships/hyperlink" Target="https://ropsten.etherscan.io/tx/0x16e246303e50841d2f751e0966b5cc45fe7f20fc7fa69d1a05527af185d889ae" TargetMode="External"/><Relationship Id="rId39" Type="http://schemas.openxmlformats.org/officeDocument/2006/relationships/hyperlink" Target="https://ropsten.etherscan.io/tx/0x843f4dd5d4f3ef972fafba7f7e23740e8c19eea04fc41377c22b3c2061da7413" TargetMode="External"/><Relationship Id="rId109" Type="http://schemas.openxmlformats.org/officeDocument/2006/relationships/hyperlink" Target="https://ropsten.etherscan.io/tx/0xb3ae04831fc2906b997b2dde886d5cd6e6b67ec97fdaf0724bc60439e8704459" TargetMode="External"/><Relationship Id="rId34" Type="http://schemas.openxmlformats.org/officeDocument/2006/relationships/hyperlink" Target="https://ropsten.etherscan.io/tx/0xb57d1d8f30a130109663da7a54905709626381901d0a0a35be6f4ae9c64685fc" TargetMode="External"/><Relationship Id="rId50" Type="http://schemas.openxmlformats.org/officeDocument/2006/relationships/hyperlink" Target="https://ropsten.etherscan.io/tx/0xef50a79772cc774bb655f1282bf39e46cbba275e7d0007d5b70becd55a93b866" TargetMode="External"/><Relationship Id="rId55" Type="http://schemas.openxmlformats.org/officeDocument/2006/relationships/hyperlink" Target="https://ropsten.etherscan.io/tx/0xf7ccdeb157fd92566de3448d7f007981adbeeed8f8d4cf9abf7f40de23ed6025" TargetMode="External"/><Relationship Id="rId76" Type="http://schemas.openxmlformats.org/officeDocument/2006/relationships/hyperlink" Target="https://ropsten.etherscan.io/tx/0xd48a9f244c5b30d4d585dd4725ea10565abc5700b02bf26af484b80ddc82e274" TargetMode="External"/><Relationship Id="rId97" Type="http://schemas.openxmlformats.org/officeDocument/2006/relationships/hyperlink" Target="https://ropsten.etherscan.io/tx/0x7e71c927d80e2e299b25f09da7306d947f9cd07c5ee280fcdd436b966896b2b8" TargetMode="External"/><Relationship Id="rId104" Type="http://schemas.openxmlformats.org/officeDocument/2006/relationships/hyperlink" Target="https://ropsten.etherscan.io/tx/0x51810cb8acd8c96ca06f308e7afac50d5e4cc8de469a69bba4ab8050ee3b3bab" TargetMode="External"/><Relationship Id="rId120" Type="http://schemas.openxmlformats.org/officeDocument/2006/relationships/hyperlink" Target="https://ropsten.etherscan.io/tx/0x3da4dbf4ddd28698bf9f9f10778790aef24f6629205b43d46615a7a961a6389d" TargetMode="External"/><Relationship Id="rId125" Type="http://schemas.openxmlformats.org/officeDocument/2006/relationships/hyperlink" Target="https://ropsten.etherscan.io/tx/0x743c3feb01edc2c0ad1a71de5a1510f4a69f57f6dbe8e6ed4e6fc85229ac5fc5" TargetMode="External"/><Relationship Id="rId141" Type="http://schemas.openxmlformats.org/officeDocument/2006/relationships/hyperlink" Target="https://ropsten.etherscan.io/tx/0xe1b483ed601b7cedfbae33187a0b560f2d8aa7b5175c2fc6ab0b9a4e84254ed3" TargetMode="External"/><Relationship Id="rId146" Type="http://schemas.openxmlformats.org/officeDocument/2006/relationships/hyperlink" Target="https://ropsten.etherscan.io/tx/0x6c238e845da5c5e06634ae0a7798428baea3c415e5fb96a531e5bf58148b7cd2" TargetMode="External"/><Relationship Id="rId167" Type="http://schemas.openxmlformats.org/officeDocument/2006/relationships/hyperlink" Target="https://rinkeby.etherscan.io/tx/0x2567f2cc551d03085dc4c3fdfd5715efc139f559e8cae4d9a9cf67f4e780b74c" TargetMode="External"/><Relationship Id="rId188" Type="http://schemas.openxmlformats.org/officeDocument/2006/relationships/hyperlink" Target="https://rinkeby.etherscan.io/tx/0x06d729b23e83814ad0b88aa74802e809b5886351855968358b44b0044fbb6c1b" TargetMode="External"/><Relationship Id="rId7" Type="http://schemas.openxmlformats.org/officeDocument/2006/relationships/hyperlink" Target="https://ropsten.etherscan.io/tx/0xd095e594fa778726d0a88bdddd06bd0c1ebba38a866ada0c0621727e7352c49c" TargetMode="External"/><Relationship Id="rId71" Type="http://schemas.openxmlformats.org/officeDocument/2006/relationships/hyperlink" Target="https://ropsten.etherscan.io/tx/0x440397029807f67432d5a98c49cb177bb6c423e34687f83596e2559d337f73d3" TargetMode="External"/><Relationship Id="rId92" Type="http://schemas.openxmlformats.org/officeDocument/2006/relationships/hyperlink" Target="https://ropsten.etherscan.io/tx/0x8d7304588ad7d6b6182c0fa3ee0221ae4317ce7200e057a38624fa91650e7753" TargetMode="External"/><Relationship Id="rId162" Type="http://schemas.openxmlformats.org/officeDocument/2006/relationships/hyperlink" Target="https://rinkeby.etherscan.io/tx/0xcdb330ac6efabcc8ac720418ed76f7f72fce218c58ba99e2e9632578484aae17" TargetMode="External"/><Relationship Id="rId183" Type="http://schemas.openxmlformats.org/officeDocument/2006/relationships/hyperlink" Target="https://rinkeby.etherscan.io/tx/0xbbd2481d9f85a87a85160f7368fbf6e58aa12a401a376e5b9346eb06eb2033af" TargetMode="External"/><Relationship Id="rId213" Type="http://schemas.openxmlformats.org/officeDocument/2006/relationships/hyperlink" Target="https://rinkeby.etherscan.io/tx/0x57c552c51dd2f6d11156b16bbce94f7eb5e9740055f37833243687c78b3af5e9" TargetMode="External"/><Relationship Id="rId218" Type="http://schemas.openxmlformats.org/officeDocument/2006/relationships/hyperlink" Target="https://rinkeby.etherscan.io/tx/0xa6cb6d472cdddd6e1e2a027258a9082c1c499f48a0b7cdf2f316bf466c47a355" TargetMode="External"/><Relationship Id="rId234" Type="http://schemas.openxmlformats.org/officeDocument/2006/relationships/hyperlink" Target="https://rinkeby.etherscan.io/tx/0xa6bfc9dbc61a30746e59b28cf31fea5b3cc3b3b6c4838b5d054f1cb9a2c178ca" TargetMode="External"/><Relationship Id="rId239" Type="http://schemas.openxmlformats.org/officeDocument/2006/relationships/hyperlink" Target="https://rinkeby.etherscan.io/tx/0xbe301e9eeb7cda299a1f335b0231dd354f271f5b2494a7ea7b5fd91b9cd917d5" TargetMode="External"/><Relationship Id="rId2" Type="http://schemas.openxmlformats.org/officeDocument/2006/relationships/hyperlink" Target="https://ropsten.etherscan.io/tx/0xe57922eb64a44bc2cbb68661b5ca02ef9ade6b33f09805b4180e6f6ca47bf486" TargetMode="External"/><Relationship Id="rId29" Type="http://schemas.openxmlformats.org/officeDocument/2006/relationships/hyperlink" Target="https://ropsten.etherscan.io/tx/0x6b14285acdc70066088f44e50615711a0fa02ec6f71565eaefc238cf63cfc21f" TargetMode="External"/><Relationship Id="rId24" Type="http://schemas.openxmlformats.org/officeDocument/2006/relationships/hyperlink" Target="https://ropsten.etherscan.io/tx/0x26d5e9cd21aa3d14f7fd927d1d217faa70a1af655031ef98cbfd9f6140050c5c" TargetMode="External"/><Relationship Id="rId40" Type="http://schemas.openxmlformats.org/officeDocument/2006/relationships/hyperlink" Target="https://ropsten.etherscan.io/tx/0xf09bb60d03f39db571fe42bd3c6148f76b71d11ac10c16bbe03777ed83c11da3" TargetMode="External"/><Relationship Id="rId45" Type="http://schemas.openxmlformats.org/officeDocument/2006/relationships/hyperlink" Target="https://ropsten.etherscan.io/tx/0x2b01087549919b0a99618738632c227106bf5ea48a4fed108c7b07d94597bc99" TargetMode="External"/><Relationship Id="rId66" Type="http://schemas.openxmlformats.org/officeDocument/2006/relationships/hyperlink" Target="https://ropsten.etherscan.io/tx/0x981ca44156a8bf546bccd0e3d07df88b511d3d99c5489e822d6e8a100581c4da" TargetMode="External"/><Relationship Id="rId87" Type="http://schemas.openxmlformats.org/officeDocument/2006/relationships/hyperlink" Target="https://ropsten.etherscan.io/tx/0x28ba99de8581fdaf1cddec8e76c232a2640420391e7a0adc6dd01aeb15680632" TargetMode="External"/><Relationship Id="rId110" Type="http://schemas.openxmlformats.org/officeDocument/2006/relationships/hyperlink" Target="https://ropsten.etherscan.io/tx/0x60159c7b62040ab254ad3e55d4dfd463760cfc8da25f1bc3a0f0dc592e334752" TargetMode="External"/><Relationship Id="rId115" Type="http://schemas.openxmlformats.org/officeDocument/2006/relationships/hyperlink" Target="https://ropsten.etherscan.io/tx/0xf4dc3aa8eb341e2165f69ba060fd5de65ab1d6a7ce7bcfbcc06d04fb4203559f" TargetMode="External"/><Relationship Id="rId131" Type="http://schemas.openxmlformats.org/officeDocument/2006/relationships/hyperlink" Target="https://ropsten.etherscan.io/tx/0x698a23a4ce765835352e10b83e4e9ac14b396a6a4273b235a279f4233f8f9866" TargetMode="External"/><Relationship Id="rId136" Type="http://schemas.openxmlformats.org/officeDocument/2006/relationships/hyperlink" Target="https://ropsten.etherscan.io/tx/0x2fa6fab5e8a9323df748c86ee2e37e9e369e676762ac26917178fbca1ea68e68" TargetMode="External"/><Relationship Id="rId157" Type="http://schemas.openxmlformats.org/officeDocument/2006/relationships/hyperlink" Target="https://rinkeby.etherscan.io/tx/0x43bbb2af756018e35182fc0952114be5728f35a6663a6eaa95dfe05935ef39d0" TargetMode="External"/><Relationship Id="rId178" Type="http://schemas.openxmlformats.org/officeDocument/2006/relationships/hyperlink" Target="https://rinkeby.etherscan.io/tx/0xd10833d8d5a75ee7dfc3cf4e24f1f05d5d67c99941c202f6bffb4e73513f3ec4" TargetMode="External"/><Relationship Id="rId61" Type="http://schemas.openxmlformats.org/officeDocument/2006/relationships/hyperlink" Target="https://ropsten.etherscan.io/tx/0x0d298b24ba9fb61e3a036c0982ca47c76a003820e40a50ece95c0c4aa68471bc" TargetMode="External"/><Relationship Id="rId82" Type="http://schemas.openxmlformats.org/officeDocument/2006/relationships/hyperlink" Target="https://ropsten.etherscan.io/tx/0x58d02689271b011b1909394d7f6ad05d53081abb7729086ddd00a9d80348ba81" TargetMode="External"/><Relationship Id="rId152" Type="http://schemas.openxmlformats.org/officeDocument/2006/relationships/hyperlink" Target="https://ropsten.etherscan.io/tx/0x434bc4fca7b0a7f88161b7a0776d2ebbb8fcfb92a7658a388dcaea0ca34306cf" TargetMode="External"/><Relationship Id="rId173" Type="http://schemas.openxmlformats.org/officeDocument/2006/relationships/hyperlink" Target="https://rinkeby.etherscan.io/tx/0x0867bb6f735550e88bf9ddadd036faf21c3e6b7337dea6002a3c2d83c97abe20" TargetMode="External"/><Relationship Id="rId194" Type="http://schemas.openxmlformats.org/officeDocument/2006/relationships/hyperlink" Target="https://rinkeby.etherscan.io/tx/0x6750133579d8359361a7ff3665341e31372c3b62ed137a7fb0649d91a9f8fa86" TargetMode="External"/><Relationship Id="rId199" Type="http://schemas.openxmlformats.org/officeDocument/2006/relationships/hyperlink" Target="https://rinkeby.etherscan.io/tx/0x2c3866541a2a3eaf0503fe606cf32a8b536d1b5182dfe8c95c022aee98f152c8" TargetMode="External"/><Relationship Id="rId203" Type="http://schemas.openxmlformats.org/officeDocument/2006/relationships/hyperlink" Target="https://rinkeby.etherscan.io/tx/0xabc237ff5891b1fedf9a1f1c74b407c2f14d81a25488253f37e660ad1932cb02" TargetMode="External"/><Relationship Id="rId208" Type="http://schemas.openxmlformats.org/officeDocument/2006/relationships/hyperlink" Target="https://rinkeby.etherscan.io/tx/0x1fdd262fb0b2178fcccad176806d7b940eee34c2aec59c22488d1e1040f69f96" TargetMode="External"/><Relationship Id="rId229" Type="http://schemas.openxmlformats.org/officeDocument/2006/relationships/hyperlink" Target="https://rinkeby.etherscan.io/tx/0xe8bf7a14fbd042fd09ce14cdb8470f4fa01692ab7099f0b79fde4f46cb0165df" TargetMode="External"/><Relationship Id="rId19" Type="http://schemas.openxmlformats.org/officeDocument/2006/relationships/hyperlink" Target="https://ropsten.etherscan.io/tx/0x9a694e96085745e6d1b066b15a68d6d93cc74eeb19d6e6d24b26ae86e1950730" TargetMode="External"/><Relationship Id="rId224" Type="http://schemas.openxmlformats.org/officeDocument/2006/relationships/hyperlink" Target="https://rinkeby.etherscan.io/tx/0xaf267c78af4e0fc88dc25b06c422f4dd5a9bdffc2df326652a64804aa16a90ad" TargetMode="External"/><Relationship Id="rId240" Type="http://schemas.openxmlformats.org/officeDocument/2006/relationships/hyperlink" Target="https://rinkeby.etherscan.io/tx/0x33fb5f35ee4503991e6f599d4267e30be63e63d66add401fbc54726d78941843" TargetMode="External"/><Relationship Id="rId245" Type="http://schemas.openxmlformats.org/officeDocument/2006/relationships/hyperlink" Target="https://rinkeby.etherscan.io/tx/0xf31a48fc62e5fe0bfc59135c7716b329b77a74e8fb30e522e0349fc24d727f81" TargetMode="External"/><Relationship Id="rId14" Type="http://schemas.openxmlformats.org/officeDocument/2006/relationships/hyperlink" Target="https://ropsten.etherscan.io/tx/0x61393ed67406f4831c6ab543b65eea1b93ccbf0f3fa189cc0ac6d598c36e01ea" TargetMode="External"/><Relationship Id="rId30" Type="http://schemas.openxmlformats.org/officeDocument/2006/relationships/hyperlink" Target="https://ropsten.etherscan.io/tx/0x0bce594ac4184e55d875b48009e7d79a27bd94ef09fb14aadc22751404bd3f55" TargetMode="External"/><Relationship Id="rId35" Type="http://schemas.openxmlformats.org/officeDocument/2006/relationships/hyperlink" Target="https://ropsten.etherscan.io/tx/0x5d6502c3284711c1639a4a76ddfe0377cc0fafa518cda3e8c5ff86506ab7dc26" TargetMode="External"/><Relationship Id="rId56" Type="http://schemas.openxmlformats.org/officeDocument/2006/relationships/hyperlink" Target="https://ropsten.etherscan.io/tx/0xfe82408d671661f2ea35aa4c52fa9146e72c557b37009cfa6add907d1effdb36" TargetMode="External"/><Relationship Id="rId77" Type="http://schemas.openxmlformats.org/officeDocument/2006/relationships/hyperlink" Target="https://ropsten.etherscan.io/tx/0xb0f3056c393fa61cff2390a85bd52146bab98093a61a0ae10cee5e1e124be5f2" TargetMode="External"/><Relationship Id="rId100" Type="http://schemas.openxmlformats.org/officeDocument/2006/relationships/hyperlink" Target="https://ropsten.etherscan.io/tx/0xb7483805fbcc88433f3e13a37d8071dce2a80a3f274b9d7679fd2fc9b138052f" TargetMode="External"/><Relationship Id="rId105" Type="http://schemas.openxmlformats.org/officeDocument/2006/relationships/hyperlink" Target="https://ropsten.etherscan.io/tx/0xa47bf9d032b3ff8957cd546e42128abc223d7666049e3c9a1278ecc4bc5029db" TargetMode="External"/><Relationship Id="rId126" Type="http://schemas.openxmlformats.org/officeDocument/2006/relationships/hyperlink" Target="https://ropsten.etherscan.io/tx/0x62273962ae31d08ae9d8a46ab494c5140977364ff85a888ba7759e641d79412e" TargetMode="External"/><Relationship Id="rId147" Type="http://schemas.openxmlformats.org/officeDocument/2006/relationships/hyperlink" Target="https://ropsten.etherscan.io/tx/0x7ad8f7963e0b01394e340e79e4f7b2402c6a64a7c6b5d06554a9c65cb55aac21" TargetMode="External"/><Relationship Id="rId168" Type="http://schemas.openxmlformats.org/officeDocument/2006/relationships/hyperlink" Target="https://rinkeby.etherscan.io/tx/0x7bfa9103b4746f3500f09d8766fa20514f483abf31d6878308c006a34b860a55" TargetMode="External"/><Relationship Id="rId8" Type="http://schemas.openxmlformats.org/officeDocument/2006/relationships/hyperlink" Target="https://ropsten.etherscan.io/tx/0x36fbca5e7e150549c5ed935deb326693c7f6bd593c94717d4c7d6c47be664bd4" TargetMode="External"/><Relationship Id="rId51" Type="http://schemas.openxmlformats.org/officeDocument/2006/relationships/hyperlink" Target="https://ropsten.etherscan.io/tx/0x803ba822032a397f7d4424387771f5495c1b6d0be9cea860660e3c974110bb9f" TargetMode="External"/><Relationship Id="rId72" Type="http://schemas.openxmlformats.org/officeDocument/2006/relationships/hyperlink" Target="https://ropsten.etherscan.io/tx/0x8386b5e67c9fce377a3637af66d4128debdf0ffc439d9f6919a36d34245f0ec4" TargetMode="External"/><Relationship Id="rId93" Type="http://schemas.openxmlformats.org/officeDocument/2006/relationships/hyperlink" Target="https://ropsten.etherscan.io/tx/0x2b00a871c93dffb608addb146066f3130c9fd1a78c002de13d63cb98706a6bee" TargetMode="External"/><Relationship Id="rId98" Type="http://schemas.openxmlformats.org/officeDocument/2006/relationships/hyperlink" Target="https://ropsten.etherscan.io/tx/0x5a59964a72548c2636a26e758ceaa140e53887b877774fe34033625d3a066735" TargetMode="External"/><Relationship Id="rId121" Type="http://schemas.openxmlformats.org/officeDocument/2006/relationships/hyperlink" Target="https://ropsten.etherscan.io/tx/0x2385b439832aa1ad3302d38d517b97414d42a1f1e81911b5337d0ebf14b327f2" TargetMode="External"/><Relationship Id="rId142" Type="http://schemas.openxmlformats.org/officeDocument/2006/relationships/hyperlink" Target="https://ropsten.etherscan.io/tx/0x2d7e41ba77751f2dcc0f767e5a0035741e7062d5b84affddfaed6435467a6b32" TargetMode="External"/><Relationship Id="rId163" Type="http://schemas.openxmlformats.org/officeDocument/2006/relationships/hyperlink" Target="https://rinkeby.etherscan.io/tx/0x9cb6bcbde727c5ffd40c6b9ee0fbe17825ec728b0a8cde0eb8ea78539eb1a87e" TargetMode="External"/><Relationship Id="rId184" Type="http://schemas.openxmlformats.org/officeDocument/2006/relationships/hyperlink" Target="https://rinkeby.etherscan.io/tx/0xa34231ceb43a90cd62572abd46bb6457cb5d938dd9ccbaaf8e1d3dfb8aa404f7" TargetMode="External"/><Relationship Id="rId189" Type="http://schemas.openxmlformats.org/officeDocument/2006/relationships/hyperlink" Target="https://rinkeby.etherscan.io/tx/0xdbae936627cf6b39ae9968fce1977ea030612201ea7d8a149e317369343e0311" TargetMode="External"/><Relationship Id="rId219" Type="http://schemas.openxmlformats.org/officeDocument/2006/relationships/hyperlink" Target="https://rinkeby.etherscan.io/tx/0x818b75a4ed06901dab527ddedbeaf87eb637736e9f95194032ada6baa28b6b4b" TargetMode="External"/><Relationship Id="rId3" Type="http://schemas.openxmlformats.org/officeDocument/2006/relationships/hyperlink" Target="https://rinkeby.etherscan.io/tx/0x26a50ff05d9868ba6cf764024024515f5b24b0f9850d9bfcf421085bd3077d43" TargetMode="External"/><Relationship Id="rId214" Type="http://schemas.openxmlformats.org/officeDocument/2006/relationships/hyperlink" Target="https://rinkeby.etherscan.io/tx/0xbf0306a34be3e7eb4e6018f4d8597293174b966ff658bbe9ddfa26c373fe66fb" TargetMode="External"/><Relationship Id="rId230" Type="http://schemas.openxmlformats.org/officeDocument/2006/relationships/hyperlink" Target="https://rinkeby.etherscan.io/tx/0x8c77775d53ea4d05db4189c5e6b0a3032136fcb0911eaae023df80b0cc2dae38" TargetMode="External"/><Relationship Id="rId235" Type="http://schemas.openxmlformats.org/officeDocument/2006/relationships/hyperlink" Target="https://rinkeby.etherscan.io/tx/0x997844696004e52b12f40bba5f4cb99d050719ca7712ed604f358fe9a616dfc9" TargetMode="External"/><Relationship Id="rId25" Type="http://schemas.openxmlformats.org/officeDocument/2006/relationships/hyperlink" Target="https://ropsten.etherscan.io/tx/0x061d6e1614bff04bbf33eb465759900041203fb81b438d8e5709abd0c367ec82" TargetMode="External"/><Relationship Id="rId46" Type="http://schemas.openxmlformats.org/officeDocument/2006/relationships/hyperlink" Target="https://ropsten.etherscan.io/tx/0x3e4443aa4678ce10fbada2ce011f253c6e42f30a5b0e632a09767c8da6d08ccd" TargetMode="External"/><Relationship Id="rId67" Type="http://schemas.openxmlformats.org/officeDocument/2006/relationships/hyperlink" Target="https://ropsten.etherscan.io/tx/0x34e3e1ad30e6dfc6c41197dfa7a10904bfcc0b948e0ad2dda0b6e55ba7c8e6a1" TargetMode="External"/><Relationship Id="rId116" Type="http://schemas.openxmlformats.org/officeDocument/2006/relationships/hyperlink" Target="https://ropsten.etherscan.io/tx/0xe0ddab0645c5c11afa98b7d1165aa56f27f0df7498df140df84ff9b97fe3456c" TargetMode="External"/><Relationship Id="rId137" Type="http://schemas.openxmlformats.org/officeDocument/2006/relationships/hyperlink" Target="https://ropsten.etherscan.io/tx/0x9876876edc458ce855d58b98a5bd13817cfbab2f64de8be3c4a55fb626bc62ae" TargetMode="External"/><Relationship Id="rId158" Type="http://schemas.openxmlformats.org/officeDocument/2006/relationships/hyperlink" Target="https://rinkeby.etherscan.io/tx/0x311c43888532d205d088f5be6301531c58f32f04316aabc8308aecd764a6b781" TargetMode="External"/><Relationship Id="rId20" Type="http://schemas.openxmlformats.org/officeDocument/2006/relationships/hyperlink" Target="https://ropsten.etherscan.io/tx/0x7bc089bdde9b29a94d729137e1c0f97949e26e68c45594eb906e8dc38af7e0bf" TargetMode="External"/><Relationship Id="rId41" Type="http://schemas.openxmlformats.org/officeDocument/2006/relationships/hyperlink" Target="https://ropsten.etherscan.io/tx/0x711276909ee9326f8992903286cfd3d5a227f5ee7b10c93fb09a6fe73b5767e2" TargetMode="External"/><Relationship Id="rId62" Type="http://schemas.openxmlformats.org/officeDocument/2006/relationships/hyperlink" Target="https://ropsten.etherscan.io/tx/0xf7279abe4a5cf132ea63d8517f2aebdfae0fec0171a286bb7467ecabda82ea01" TargetMode="External"/><Relationship Id="rId83" Type="http://schemas.openxmlformats.org/officeDocument/2006/relationships/hyperlink" Target="https://ropsten.etherscan.io/tx/0x91dd36cfcf6b418cca9ebe8e1ae9aab8de88f9dcb0a387975b2424b601e6755a" TargetMode="External"/><Relationship Id="rId88" Type="http://schemas.openxmlformats.org/officeDocument/2006/relationships/hyperlink" Target="https://ropsten.etherscan.io/tx/0x7cbcbe268bf14d59736e8786355d454e273e20e523f17b95d54e350f113669b2" TargetMode="External"/><Relationship Id="rId111" Type="http://schemas.openxmlformats.org/officeDocument/2006/relationships/hyperlink" Target="https://ropsten.etherscan.io/tx/0x6f95e758ebb2c0571fa2770a6f8ac27a1fe90071ed63d565339fcf5c96027100" TargetMode="External"/><Relationship Id="rId132" Type="http://schemas.openxmlformats.org/officeDocument/2006/relationships/hyperlink" Target="https://ropsten.etherscan.io/tx/0xbc13717bae92cd0bbf046dd8cb37c6b6880ba45b3bd9118cbc1f6088e6ec2e40" TargetMode="External"/><Relationship Id="rId153" Type="http://schemas.openxmlformats.org/officeDocument/2006/relationships/hyperlink" Target="https://rinkeby.etherscan.io/tx/0xd487d9159002e2ec9f2e25f0b64a98c09a9736e29b925bd9adea4ff152c84c22" TargetMode="External"/><Relationship Id="rId174" Type="http://schemas.openxmlformats.org/officeDocument/2006/relationships/hyperlink" Target="https://rinkeby.etherscan.io/tx/0x5a67a81b39da6ea83dfde9be673e3cf673f1cb3ccc6bfe28f83409a01ce44a27" TargetMode="External"/><Relationship Id="rId179" Type="http://schemas.openxmlformats.org/officeDocument/2006/relationships/hyperlink" Target="https://rinkeby.etherscan.io/tx/0xbdfe8cfe4de4640a23c5e4a6c53f39f2a7ab2841922e2fad42af60dd83423ca3" TargetMode="External"/><Relationship Id="rId195" Type="http://schemas.openxmlformats.org/officeDocument/2006/relationships/hyperlink" Target="https://rinkeby.etherscan.io/tx/0x49349c3509692036f4af73fe703de445102388822b6b75b0e1ed44357a4a5f33" TargetMode="External"/><Relationship Id="rId209" Type="http://schemas.openxmlformats.org/officeDocument/2006/relationships/hyperlink" Target="https://rinkeby.etherscan.io/tx/0x79403522f8e53bad49f779faa6fc2a201915f576f84c3b76efb0c06f6e4fa31e" TargetMode="External"/><Relationship Id="rId190" Type="http://schemas.openxmlformats.org/officeDocument/2006/relationships/hyperlink" Target="https://rinkeby.etherscan.io/tx/0x8a1d5e67ee75d41b7311ccb6db8629ff2f2274a229a160bd58f98272d590a8a4" TargetMode="External"/><Relationship Id="rId204" Type="http://schemas.openxmlformats.org/officeDocument/2006/relationships/hyperlink" Target="https://rinkeby.etherscan.io/tx/0x96ffdf10d2a611e5e3b68cd9ae6dfe786035bdf678487e5d96a9089d27fa56aa" TargetMode="External"/><Relationship Id="rId220" Type="http://schemas.openxmlformats.org/officeDocument/2006/relationships/hyperlink" Target="https://rinkeby.etherscan.io/tx/0x4b902fe986fcca184ab8f4eae0a943b64a205e21f473a8a5e5226c0916ac2adc" TargetMode="External"/><Relationship Id="rId225" Type="http://schemas.openxmlformats.org/officeDocument/2006/relationships/hyperlink" Target="https://rinkeby.etherscan.io/tx/0xbc755a25696104d8863b9e800fb36bd566547e9e4c41b4ce5bb73f4cc9d26962" TargetMode="External"/><Relationship Id="rId241" Type="http://schemas.openxmlformats.org/officeDocument/2006/relationships/hyperlink" Target="https://rinkeby.etherscan.io/tx/0xc7d41f7c89a92241018491183dadaeadd661f18ea92928a0dde2dfdabdd4a459" TargetMode="External"/><Relationship Id="rId246" Type="http://schemas.openxmlformats.org/officeDocument/2006/relationships/hyperlink" Target="https://rinkeby.etherscan.io/tx/0xb5f78d5e3e188642c344223af2ccec2536256d20ca9bf1c226b32cf3f35502e7" TargetMode="External"/><Relationship Id="rId15" Type="http://schemas.openxmlformats.org/officeDocument/2006/relationships/hyperlink" Target="https://ropsten.etherscan.io/tx/0x608ffaa7a646f4f8315eca13407782b0c541b59895dbe43d36cc503f1035edfd" TargetMode="External"/><Relationship Id="rId36" Type="http://schemas.openxmlformats.org/officeDocument/2006/relationships/hyperlink" Target="https://ropsten.etherscan.io/tx/0xeb4e4b4b73bc5f9faa49c7e8e0b1333f43fb45a022c6d7111caf555e809a8333" TargetMode="External"/><Relationship Id="rId57" Type="http://schemas.openxmlformats.org/officeDocument/2006/relationships/hyperlink" Target="https://ropsten.etherscan.io/tx/0x60ab5c6a8f9f6fea745d51fc21c2d632ff8bbaa95d3fd7219548e0440717766e" TargetMode="External"/><Relationship Id="rId106" Type="http://schemas.openxmlformats.org/officeDocument/2006/relationships/hyperlink" Target="https://ropsten.etherscan.io/tx/0xc93b9f867dd77e3f1f46cc8060c93aa805810821a8f1f5999b9c409e27340c9e" TargetMode="External"/><Relationship Id="rId127" Type="http://schemas.openxmlformats.org/officeDocument/2006/relationships/hyperlink" Target="https://ropsten.etherscan.io/tx/0xc556299fc60773d71990cf15c42b306ff25d211372aabed23b7d8766534e3830" TargetMode="External"/><Relationship Id="rId10" Type="http://schemas.openxmlformats.org/officeDocument/2006/relationships/hyperlink" Target="https://ropsten.etherscan.io/tx/0x9e66904faf9086083d76893156c808ff7a43c32b96a4342001ab012b5b998125" TargetMode="External"/><Relationship Id="rId31" Type="http://schemas.openxmlformats.org/officeDocument/2006/relationships/hyperlink" Target="https://ropsten.etherscan.io/tx/0x10ee18ee4960682520758d5eba2ca62de16c0b39638b34e7f439ab8c9d889db0" TargetMode="External"/><Relationship Id="rId52" Type="http://schemas.openxmlformats.org/officeDocument/2006/relationships/hyperlink" Target="https://ropsten.etherscan.io/tx/0x3a20b849b483fdbd59167d25cf7529d7180b978242344c70080a0e5ef5f5131a" TargetMode="External"/><Relationship Id="rId73" Type="http://schemas.openxmlformats.org/officeDocument/2006/relationships/hyperlink" Target="https://ropsten.etherscan.io/tx/0x78970ee9dd67c5d13347262b69a07b904c9577ea221d6cfe803211767bdafeed" TargetMode="External"/><Relationship Id="rId78" Type="http://schemas.openxmlformats.org/officeDocument/2006/relationships/hyperlink" Target="https://ropsten.etherscan.io/tx/0x7e704b2e4bb01125d14bf2a77674aa02fddfd4981365f3d19342b7791f8a2c1e" TargetMode="External"/><Relationship Id="rId94" Type="http://schemas.openxmlformats.org/officeDocument/2006/relationships/hyperlink" Target="https://ropsten.etherscan.io/tx/0x532ca9268630f98dd9c4de4b73208c2564854c8dd4b41d8615aca72750111d72" TargetMode="External"/><Relationship Id="rId99" Type="http://schemas.openxmlformats.org/officeDocument/2006/relationships/hyperlink" Target="https://ropsten.etherscan.io/tx/0x309b59825e20d09b6d9cecdecdb7cde51353305732aa0548322e44d895fca1e8" TargetMode="External"/><Relationship Id="rId101" Type="http://schemas.openxmlformats.org/officeDocument/2006/relationships/hyperlink" Target="https://ropsten.etherscan.io/tx/0x47c1f8afe903fa0510ae004eb22401294d84c2819ddff0eb501202bed9cbf5ff" TargetMode="External"/><Relationship Id="rId122" Type="http://schemas.openxmlformats.org/officeDocument/2006/relationships/hyperlink" Target="https://ropsten.etherscan.io/tx/0x0760db1c5cd9a899b0bcc736608bbe9c3c2b9ab08a3a0ca5c889801ee86c79af" TargetMode="External"/><Relationship Id="rId143" Type="http://schemas.openxmlformats.org/officeDocument/2006/relationships/hyperlink" Target="https://ropsten.etherscan.io/tx/0xac8f73e44c6655c062753f29c1c2f3d6c0d48ae929f4c2363ff8ad8a2d4dfb9e" TargetMode="External"/><Relationship Id="rId148" Type="http://schemas.openxmlformats.org/officeDocument/2006/relationships/hyperlink" Target="https://ropsten.etherscan.io/tx/0xce06c75d680737af15bf3a11bc52ce7d07a26b1706c9f6c6919ea7a41c046b11" TargetMode="External"/><Relationship Id="rId164" Type="http://schemas.openxmlformats.org/officeDocument/2006/relationships/hyperlink" Target="https://rinkeby.etherscan.io/tx/0x1db216645a3c8e802840fb7a08522e38b3ffd3c0a02d12af40a8e1ba7de31051" TargetMode="External"/><Relationship Id="rId169" Type="http://schemas.openxmlformats.org/officeDocument/2006/relationships/hyperlink" Target="https://rinkeby.etherscan.io/tx/0x9cc9a9649bde8a98985f1df8f0f9f655151ac3bc16f904f736a45bc6ad284ffb" TargetMode="External"/><Relationship Id="rId185" Type="http://schemas.openxmlformats.org/officeDocument/2006/relationships/hyperlink" Target="https://rinkeby.etherscan.io/tx/0xfa13c9e6627c66c7866eade4f829daf57e5515f402348d6d5139fb573fca74d6" TargetMode="External"/><Relationship Id="rId4" Type="http://schemas.openxmlformats.org/officeDocument/2006/relationships/hyperlink" Target="https://rinkeby.etherscan.io/tx/0xa3fabf5cb20d4110bbc0731ddfae77834bcb1983b3aaf18a2ea6d33b9ef32165" TargetMode="External"/><Relationship Id="rId9" Type="http://schemas.openxmlformats.org/officeDocument/2006/relationships/hyperlink" Target="https://ropsten.etherscan.io/tx/0x441c6e4837c8e58fa9a7b4bf69fdc9656958f75d63bb28225da4be620cd7f34c" TargetMode="External"/><Relationship Id="rId180" Type="http://schemas.openxmlformats.org/officeDocument/2006/relationships/hyperlink" Target="https://rinkeby.etherscan.io/tx/0x533ffd4f06bb31336eefbdea6f897a45b783c9191babc28ed6323017fed9f4c6" TargetMode="External"/><Relationship Id="rId210" Type="http://schemas.openxmlformats.org/officeDocument/2006/relationships/hyperlink" Target="https://rinkeby.etherscan.io/tx/0x47b2855b9988267f37f280ec590b0ea448f5a66c50c4cedfa1d40b56933b93d7" TargetMode="External"/><Relationship Id="rId215" Type="http://schemas.openxmlformats.org/officeDocument/2006/relationships/hyperlink" Target="https://rinkeby.etherscan.io/tx/0x0a0921605db2b65a987abe395fd5726e1b421030845cd457d347c1de9a99f01e" TargetMode="External"/><Relationship Id="rId236" Type="http://schemas.openxmlformats.org/officeDocument/2006/relationships/hyperlink" Target="https://rinkeby.etherscan.io/tx/0x86dde49b16efb37238b199d0d0e4d427e7bd3bcb06d9343b4454e3e273f1c70a" TargetMode="External"/><Relationship Id="rId26" Type="http://schemas.openxmlformats.org/officeDocument/2006/relationships/hyperlink" Target="https://ropsten.etherscan.io/tx/0x6298311c3aac202c0299261732079daaf65f5ce5c13b31da414c543e6138486a" TargetMode="External"/><Relationship Id="rId231" Type="http://schemas.openxmlformats.org/officeDocument/2006/relationships/hyperlink" Target="https://rinkeby.etherscan.io/tx/0x2d7fb462d1407b7ed118ec2bcf1cf2c311c49b51007f8cceb0ea0f14b5b63afa" TargetMode="External"/><Relationship Id="rId47" Type="http://schemas.openxmlformats.org/officeDocument/2006/relationships/hyperlink" Target="https://ropsten.etherscan.io/tx/0xf83573e624f9dc8540265aea3c26497d6639a50c44be085098af65e4a0b85d38" TargetMode="External"/><Relationship Id="rId68" Type="http://schemas.openxmlformats.org/officeDocument/2006/relationships/hyperlink" Target="https://ropsten.etherscan.io/tx/0x92eb53fa27c0c763c235b22211c67c9f09d47eb898471bcdc3d8f165f56ca8d5" TargetMode="External"/><Relationship Id="rId89" Type="http://schemas.openxmlformats.org/officeDocument/2006/relationships/hyperlink" Target="https://ropsten.etherscan.io/tx/0xb3b40e278f93d483da2e675d72f2320d369ac69f2debb61be32074563b17ef30" TargetMode="External"/><Relationship Id="rId112" Type="http://schemas.openxmlformats.org/officeDocument/2006/relationships/hyperlink" Target="https://ropsten.etherscan.io/tx/0xe030263e19187d026d92cd6337fa27e9a4b55f4c464b3775c5eccea7976e4728" TargetMode="External"/><Relationship Id="rId133" Type="http://schemas.openxmlformats.org/officeDocument/2006/relationships/hyperlink" Target="https://ropsten.etherscan.io/tx/0xf8d4335bce6a7fe61dcde330e47c7d4cd6080ee5a25051615fc9cd83f7efa06b" TargetMode="External"/><Relationship Id="rId154" Type="http://schemas.openxmlformats.org/officeDocument/2006/relationships/hyperlink" Target="https://rinkeby.etherscan.io/tx/0xbf91b3acd97984feb01f23e52541eb091553a3354d98bb58a4918723446accb3" TargetMode="External"/><Relationship Id="rId175" Type="http://schemas.openxmlformats.org/officeDocument/2006/relationships/hyperlink" Target="https://rinkeby.etherscan.io/tx/0x7444109502c3e9b8728c4d7913563fad63e164ca13c93a2faeda6bb3773529ac" TargetMode="External"/><Relationship Id="rId196" Type="http://schemas.openxmlformats.org/officeDocument/2006/relationships/hyperlink" Target="https://rinkeby.etherscan.io/tx/0x1e9a29daf3bd72ed667ffc0a32c3d19736a607cb238ee4fcb746580e716909f1" TargetMode="External"/><Relationship Id="rId200" Type="http://schemas.openxmlformats.org/officeDocument/2006/relationships/hyperlink" Target="https://rinkeby.etherscan.io/tx/0x27c023f23993e18f3ee25ec2bf920dd67f68db548dc99cdbbdb3686e84241a8f" TargetMode="External"/><Relationship Id="rId16" Type="http://schemas.openxmlformats.org/officeDocument/2006/relationships/hyperlink" Target="https://ropsten.etherscan.io/tx/0x27dd460dfa60b478323e0cca1e8de8222c1bbcf5a386a4000ef2b694c6dfb6fd" TargetMode="External"/><Relationship Id="rId221" Type="http://schemas.openxmlformats.org/officeDocument/2006/relationships/hyperlink" Target="https://rinkeby.etherscan.io/tx/0xced2099b70ed5582c373e1f317a722cfb2f7fabfeddb18e3f9acaf9925c8c3f4" TargetMode="External"/><Relationship Id="rId242" Type="http://schemas.openxmlformats.org/officeDocument/2006/relationships/hyperlink" Target="https://rinkeby.etherscan.io/tx/0x4d4bdbc0d4ff4fe915a5e70b2f955f2593e1f87ad4d3e359b8a92feb8a5757b8" TargetMode="External"/><Relationship Id="rId37" Type="http://schemas.openxmlformats.org/officeDocument/2006/relationships/hyperlink" Target="https://ropsten.etherscan.io/tx/0xe4fc1f01f44d91656077f797237a33a60386112c58ae82775afa437a1a76895a" TargetMode="External"/><Relationship Id="rId58" Type="http://schemas.openxmlformats.org/officeDocument/2006/relationships/hyperlink" Target="https://ropsten.etherscan.io/tx/0x03fd3d09be8148d7c0c9d9a2973769fdab4ef261cf6c0b36992c2604fc55e266" TargetMode="External"/><Relationship Id="rId79" Type="http://schemas.openxmlformats.org/officeDocument/2006/relationships/hyperlink" Target="https://ropsten.etherscan.io/tx/0xef640b0849e32a4f6cf75cbea3c5754839dabeb9105c2fc2d1c8252b3752d386" TargetMode="External"/><Relationship Id="rId102" Type="http://schemas.openxmlformats.org/officeDocument/2006/relationships/hyperlink" Target="https://ropsten.etherscan.io/tx/0xd28a1fd868854e006478da07b478b2dc6bb5d30afee43e5b3c5dfa42466144c2" TargetMode="External"/><Relationship Id="rId123" Type="http://schemas.openxmlformats.org/officeDocument/2006/relationships/hyperlink" Target="https://ropsten.etherscan.io/tx/0x8453fb7cfb5513a3cb96814e2387b5884dc316feba6c2f9b485e2788913c3f0c" TargetMode="External"/><Relationship Id="rId144" Type="http://schemas.openxmlformats.org/officeDocument/2006/relationships/hyperlink" Target="https://ropsten.etherscan.io/tx/0xb47571bfd6b907471b72700ba56f6f52848f928cf691ed3dfb5661da30f52cd1" TargetMode="External"/><Relationship Id="rId90" Type="http://schemas.openxmlformats.org/officeDocument/2006/relationships/hyperlink" Target="https://ropsten.etherscan.io/tx/0x1efe74d7ba20f24d166fd4b43d2a4f54639709eafc217e5b73ed4dbbb38daef6" TargetMode="External"/><Relationship Id="rId165" Type="http://schemas.openxmlformats.org/officeDocument/2006/relationships/hyperlink" Target="https://rinkeby.etherscan.io/tx/0xaae5267b0d07d7935ec56de90d45750319b8a24a06f0627d1df2b2e42f2d5ead" TargetMode="External"/><Relationship Id="rId186" Type="http://schemas.openxmlformats.org/officeDocument/2006/relationships/hyperlink" Target="https://rinkeby.etherscan.io/tx/0xba472eb3f25407a207dba495b21b81e34b65c957905582c8fbde0f149280009c" TargetMode="External"/><Relationship Id="rId211" Type="http://schemas.openxmlformats.org/officeDocument/2006/relationships/hyperlink" Target="https://rinkeby.etherscan.io/tx/0xbad321da8a36b327c91ac601f5f44c39b350cccc3b3d790a60f35ce44e114ba4" TargetMode="External"/><Relationship Id="rId232" Type="http://schemas.openxmlformats.org/officeDocument/2006/relationships/hyperlink" Target="https://rinkeby.etherscan.io/tx/0x0c1fe3638fd90d3ec3db933ccfecee1c2fffd92798bc417ebdfd625ffbe14b6b" TargetMode="External"/><Relationship Id="rId27" Type="http://schemas.openxmlformats.org/officeDocument/2006/relationships/hyperlink" Target="https://ropsten.etherscan.io/tx/0x109133afeb30558c49d0a436848830b05d07a232516658d12e6efef794495bf7" TargetMode="External"/><Relationship Id="rId48" Type="http://schemas.openxmlformats.org/officeDocument/2006/relationships/hyperlink" Target="https://ropsten.etherscan.io/tx/0xa5aa755b35c35da3811b533d248f56bc6506b36b3eecaab16e11eaa82b302dd2" TargetMode="External"/><Relationship Id="rId69" Type="http://schemas.openxmlformats.org/officeDocument/2006/relationships/hyperlink" Target="https://ropsten.etherscan.io/tx/0xda62f4e0bb9f216efd5137706a5b7cd4b6e6f03d416e4398a8c89a03d536239f" TargetMode="External"/><Relationship Id="rId113" Type="http://schemas.openxmlformats.org/officeDocument/2006/relationships/hyperlink" Target="https://ropsten.etherscan.io/tx/0x74e835d3a96d7c7a4b7810e698f4720a6cdc2c12fa88c33255fd91af8ad2be9a" TargetMode="External"/><Relationship Id="rId134" Type="http://schemas.openxmlformats.org/officeDocument/2006/relationships/hyperlink" Target="https://ropsten.etherscan.io/tx/0x1ee4f684c0c8a683e3c63da7a3432db9628f9eaffa027a8b11ddb27ad12eec13" TargetMode="External"/><Relationship Id="rId80" Type="http://schemas.openxmlformats.org/officeDocument/2006/relationships/hyperlink" Target="https://ropsten.etherscan.io/tx/0x0c3eeb3381f31845ca6b73571e1b4b44f49076e736dcf6c0f239123a75d1eac1" TargetMode="External"/><Relationship Id="rId155" Type="http://schemas.openxmlformats.org/officeDocument/2006/relationships/hyperlink" Target="https://rinkeby.etherscan.io/tx/0xee7f86e97e131e1143399f3752446785da54dd5bd8d3060786817e7293107b54" TargetMode="External"/><Relationship Id="rId176" Type="http://schemas.openxmlformats.org/officeDocument/2006/relationships/hyperlink" Target="https://rinkeby.etherscan.io/tx/0xd3cc793e224225445ac665bfa43c5eabc51378e4758cd880b8a01e52ac971bc5" TargetMode="External"/><Relationship Id="rId197" Type="http://schemas.openxmlformats.org/officeDocument/2006/relationships/hyperlink" Target="https://rinkeby.etherscan.io/tx/0x188ce9e3bccc30cde90fcc223886df68bdc56507041f90e4c0c4a12b2c7e1cf2" TargetMode="External"/><Relationship Id="rId201" Type="http://schemas.openxmlformats.org/officeDocument/2006/relationships/hyperlink" Target="https://rinkeby.etherscan.io/tx/0xb12b67fb3337b9aa7734d0e38ae13db6bdacc112fb422961d510ac16d42b479d" TargetMode="External"/><Relationship Id="rId222" Type="http://schemas.openxmlformats.org/officeDocument/2006/relationships/hyperlink" Target="https://rinkeby.etherscan.io/tx/0xc048817605cc2a42db0010b88f2ae911a061c55fa31e57d7e63eb2dc321152f7" TargetMode="External"/><Relationship Id="rId243" Type="http://schemas.openxmlformats.org/officeDocument/2006/relationships/hyperlink" Target="https://rinkeby.etherscan.io/tx/0x1f1e2ac651945d1044b9ff2050e4e2fbf78049d31c0084b4d50564be5a03de7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T253"/>
  <sheetViews>
    <sheetView zoomScale="89" zoomScaleNormal="89" workbookViewId="0">
      <selection activeCell="I6" sqref="I6"/>
    </sheetView>
  </sheetViews>
  <sheetFormatPr defaultRowHeight="14.4" x14ac:dyDescent="0.3"/>
  <cols>
    <col min="1" max="1" width="15" bestFit="1" customWidth="1"/>
    <col min="2" max="2" width="3" bestFit="1" customWidth="1"/>
    <col min="3" max="3" width="26" bestFit="1" customWidth="1"/>
    <col min="4" max="5" width="13.6640625" bestFit="1" customWidth="1"/>
    <col min="6" max="6" width="16.88671875" bestFit="1" customWidth="1"/>
    <col min="7" max="8" width="13.88671875" customWidth="1"/>
    <col min="9" max="9" width="20.109375" bestFit="1" customWidth="1"/>
    <col min="10" max="10" width="13.6640625" bestFit="1" customWidth="1"/>
    <col min="11" max="12" width="13.33203125" customWidth="1"/>
    <col min="13" max="14" width="17.33203125" customWidth="1"/>
    <col min="15" max="15" width="22.109375" bestFit="1" customWidth="1"/>
    <col min="16" max="16" width="17.44140625" bestFit="1" customWidth="1"/>
    <col min="17" max="17" width="102.109375" bestFit="1" customWidth="1"/>
    <col min="19" max="19" width="21.109375" bestFit="1" customWidth="1"/>
  </cols>
  <sheetData>
    <row r="1" spans="1:20" x14ac:dyDescent="0.3">
      <c r="K1" s="5" t="s">
        <v>621</v>
      </c>
      <c r="L1" s="6">
        <v>2E-8</v>
      </c>
      <c r="M1" t="s">
        <v>620</v>
      </c>
    </row>
    <row r="2" spans="1:20" x14ac:dyDescent="0.3">
      <c r="A2" t="s">
        <v>0</v>
      </c>
      <c r="B2" t="s">
        <v>1</v>
      </c>
      <c r="C2" t="s">
        <v>2</v>
      </c>
      <c r="D2" t="s">
        <v>3</v>
      </c>
      <c r="E2" t="s">
        <v>133</v>
      </c>
      <c r="F2" t="s">
        <v>4</v>
      </c>
      <c r="G2" s="4" t="s">
        <v>618</v>
      </c>
      <c r="H2" s="4" t="s">
        <v>622</v>
      </c>
      <c r="I2" s="4" t="s">
        <v>623</v>
      </c>
      <c r="J2" t="s">
        <v>5</v>
      </c>
      <c r="K2" s="4" t="s">
        <v>618</v>
      </c>
      <c r="L2" s="4"/>
      <c r="M2" s="4" t="s">
        <v>134</v>
      </c>
      <c r="N2" s="4">
        <v>508.04</v>
      </c>
      <c r="O2" t="s">
        <v>6</v>
      </c>
      <c r="P2" t="s">
        <v>7</v>
      </c>
      <c r="Q2" t="s">
        <v>8</v>
      </c>
      <c r="S2" t="s">
        <v>616</v>
      </c>
      <c r="T2" t="s">
        <v>617</v>
      </c>
    </row>
    <row r="3" spans="1:20" x14ac:dyDescent="0.3">
      <c r="A3" t="s">
        <v>67</v>
      </c>
      <c r="B3">
        <v>0</v>
      </c>
      <c r="C3" t="s">
        <v>117</v>
      </c>
      <c r="D3">
        <v>22</v>
      </c>
      <c r="E3">
        <f>IF(B3&lt;&gt;B2,D3,D3-D2)</f>
        <v>22</v>
      </c>
      <c r="F3" t="s">
        <v>15</v>
      </c>
      <c r="G3">
        <f>AVERAGEIF(F3:F252,"approve",E3:E253)</f>
        <v>21.68</v>
      </c>
      <c r="I3">
        <f>_xlfn.STDEV.S(E3,E8,E13,E18,E23,E28,E33,E38,E43,E48,E53,E58,E63,E68,E73,E78,E83,E88,E93,E98,E103,E108,E113,E118,E123,E128,E133,E138,E143,E148,E153,E158,E163,E168,E173,E178,E183,E188,E193,E198,E203,E208,E213,E218,E223,E228,E233,E238,E243,E248)</f>
        <v>3.5192763634657909</v>
      </c>
      <c r="J3">
        <v>44114</v>
      </c>
      <c r="K3">
        <f>AVERAGEIF(F3:F252,"approve",J3:J253)</f>
        <v>44114</v>
      </c>
      <c r="L3">
        <f>K3*$L$1</f>
        <v>8.8228000000000004E-4</v>
      </c>
      <c r="M3">
        <f>0.00000002*J3</f>
        <v>8.8228000000000004E-4</v>
      </c>
      <c r="N3">
        <f>M3*N2</f>
        <v>0.44823353120000003</v>
      </c>
      <c r="O3">
        <v>7198381</v>
      </c>
      <c r="P3">
        <v>50782208</v>
      </c>
      <c r="Q3" s="1" t="s">
        <v>118</v>
      </c>
      <c r="S3">
        <f t="shared" ref="S3:S34" si="0">IF(F3="exitTransaction",E3,0)</f>
        <v>0</v>
      </c>
      <c r="T3">
        <f t="shared" ref="T3:T34" si="1">IF(F3="entryTransaction",E3,0)</f>
        <v>0</v>
      </c>
    </row>
    <row r="4" spans="1:20" x14ac:dyDescent="0.3">
      <c r="A4" t="s">
        <v>67</v>
      </c>
      <c r="B4">
        <v>0</v>
      </c>
      <c r="C4" t="s">
        <v>117</v>
      </c>
      <c r="D4">
        <v>38</v>
      </c>
      <c r="E4">
        <f t="shared" ref="E4:E67" si="2">IF(B4&lt;&gt;B3,D4,D4-D3)</f>
        <v>16</v>
      </c>
      <c r="F4" t="s">
        <v>14</v>
      </c>
      <c r="G4">
        <f>AVERAGEIF(F3:F252,"exitTransaction",E3:E252)</f>
        <v>15.2</v>
      </c>
      <c r="I4">
        <f>_xlfn.STDEV.S(E4,E9,E14,E19,E24,E29,E34,E39,E44,E49,E54,E59,E64,E69,E74,E79,E84,E89,E94,E99,E104,E109,E114,E119,E124,E129,E134,E139,E144,E149,E154,E159,E164,E169,E174,E179,E184,E189,E194,E199,E204,E209,E214,E219,E224,E229,E234,E239,E244,E249)</f>
        <v>2.6029810226126568</v>
      </c>
      <c r="J4">
        <v>184446</v>
      </c>
      <c r="K4">
        <f>AVERAGEIF(F3:F252,"exitTransaction",J3:J252)</f>
        <v>184442.64</v>
      </c>
      <c r="L4">
        <f>K4*$L$1</f>
        <v>3.6888528000000005E-3</v>
      </c>
      <c r="M4">
        <f>0.00000002*J4</f>
        <v>3.68892E-3</v>
      </c>
      <c r="O4">
        <v>7198382</v>
      </c>
      <c r="P4">
        <v>50761728</v>
      </c>
      <c r="Q4" s="1" t="s">
        <v>119</v>
      </c>
      <c r="S4">
        <f t="shared" si="0"/>
        <v>16</v>
      </c>
      <c r="T4">
        <f t="shared" si="1"/>
        <v>0</v>
      </c>
    </row>
    <row r="5" spans="1:20" x14ac:dyDescent="0.3">
      <c r="A5" t="s">
        <v>67</v>
      </c>
      <c r="B5">
        <v>0</v>
      </c>
      <c r="C5" t="s">
        <v>117</v>
      </c>
      <c r="D5">
        <v>79</v>
      </c>
      <c r="E5">
        <f t="shared" si="2"/>
        <v>41</v>
      </c>
      <c r="F5" t="s">
        <v>13</v>
      </c>
      <c r="G5">
        <f>AVERAGEIF(F3:F252,"add",E3:E252)</f>
        <v>24.72</v>
      </c>
      <c r="J5">
        <v>152319</v>
      </c>
      <c r="K5">
        <f>AVERAGEIF(F3:F252,"add",J3:J252)</f>
        <v>152313</v>
      </c>
      <c r="L5">
        <f>K5*$L$1</f>
        <v>3.0462599999999999E-3</v>
      </c>
      <c r="M5">
        <f t="shared" ref="M5:M67" si="3">0.00000002*J5</f>
        <v>3.04638E-3</v>
      </c>
      <c r="O5">
        <v>8687244</v>
      </c>
      <c r="P5">
        <v>51859456</v>
      </c>
      <c r="Q5" s="1" t="s">
        <v>121</v>
      </c>
      <c r="S5">
        <f t="shared" si="0"/>
        <v>0</v>
      </c>
      <c r="T5">
        <f t="shared" si="1"/>
        <v>0</v>
      </c>
    </row>
    <row r="6" spans="1:20" x14ac:dyDescent="0.3">
      <c r="A6" t="s">
        <v>67</v>
      </c>
      <c r="B6">
        <v>0</v>
      </c>
      <c r="C6" t="s">
        <v>117</v>
      </c>
      <c r="D6">
        <v>107</v>
      </c>
      <c r="E6">
        <f>IF(B6&lt;&gt;B5,D6,D6-D5)</f>
        <v>28</v>
      </c>
      <c r="F6" t="s">
        <v>12</v>
      </c>
      <c r="G6">
        <f>AVERAGEIF(F3:F252,"entryTransaction",E3:E252)</f>
        <v>30.78</v>
      </c>
      <c r="I6">
        <f>_xlfn.STDEV.S(E6,E11,E16,E21,E26,E31,E36,E41,E46,E51,E56,E61,E66,E71,E76,E81,E86,E91,E96,E101,E106,E111,E116,E121,E126,E131,E136,E141,E146,E151,E156,E161,E166,E171,E176,E181,E186,E191,E196,E201,E206,E211,E216,E221,E226,E231,E236,E241,E246,E251)</f>
        <v>17.622214644578357</v>
      </c>
      <c r="J6">
        <v>87951</v>
      </c>
      <c r="K6">
        <f>AVERAGEIF(F3:F252,"entryTransaction",J3:J252)</f>
        <v>87947.88</v>
      </c>
      <c r="L6">
        <f>K6*$L$1</f>
        <v>1.7589576000000002E-3</v>
      </c>
      <c r="M6">
        <f t="shared" si="3"/>
        <v>1.75902E-3</v>
      </c>
      <c r="O6">
        <v>8687247</v>
      </c>
      <c r="P6">
        <v>52043776</v>
      </c>
      <c r="Q6" s="1" t="s">
        <v>122</v>
      </c>
      <c r="S6">
        <f t="shared" si="0"/>
        <v>0</v>
      </c>
      <c r="T6">
        <f t="shared" si="1"/>
        <v>28</v>
      </c>
    </row>
    <row r="7" spans="1:20" x14ac:dyDescent="0.3">
      <c r="A7" t="s">
        <v>67</v>
      </c>
      <c r="B7">
        <v>0</v>
      </c>
      <c r="C7" t="s">
        <v>117</v>
      </c>
      <c r="D7">
        <v>131</v>
      </c>
      <c r="E7">
        <f t="shared" si="2"/>
        <v>24</v>
      </c>
      <c r="F7" t="s">
        <v>11</v>
      </c>
      <c r="G7">
        <f>AVERAGEIF(F3:F252,"update",E3:E252)</f>
        <v>18.88</v>
      </c>
      <c r="J7">
        <v>64951</v>
      </c>
      <c r="K7">
        <f>AVERAGEIF(F3:F252,"update",J3:J252)</f>
        <v>64947.88</v>
      </c>
      <c r="L7">
        <f t="shared" ref="L7" si="4">K7*$L$1</f>
        <v>1.2989575999999999E-3</v>
      </c>
      <c r="M7">
        <f t="shared" si="3"/>
        <v>1.2990200000000001E-3</v>
      </c>
      <c r="O7">
        <v>7198388</v>
      </c>
      <c r="P7">
        <v>51994624</v>
      </c>
      <c r="Q7" s="1" t="s">
        <v>120</v>
      </c>
      <c r="S7">
        <f t="shared" si="0"/>
        <v>0</v>
      </c>
      <c r="T7">
        <f t="shared" si="1"/>
        <v>0</v>
      </c>
    </row>
    <row r="8" spans="1:20" x14ac:dyDescent="0.3">
      <c r="A8" t="s">
        <v>67</v>
      </c>
      <c r="B8">
        <v>1</v>
      </c>
      <c r="C8" t="s">
        <v>116</v>
      </c>
      <c r="D8">
        <v>16</v>
      </c>
      <c r="E8">
        <f t="shared" si="2"/>
        <v>16</v>
      </c>
      <c r="F8" t="s">
        <v>15</v>
      </c>
      <c r="J8">
        <v>44114</v>
      </c>
      <c r="M8">
        <f t="shared" si="3"/>
        <v>8.8228000000000004E-4</v>
      </c>
      <c r="O8">
        <v>7198391</v>
      </c>
      <c r="P8">
        <v>54374400</v>
      </c>
      <c r="Q8" s="1" t="s">
        <v>128</v>
      </c>
      <c r="S8">
        <f t="shared" si="0"/>
        <v>0</v>
      </c>
      <c r="T8">
        <f t="shared" si="1"/>
        <v>0</v>
      </c>
    </row>
    <row r="9" spans="1:20" x14ac:dyDescent="0.3">
      <c r="A9" t="s">
        <v>67</v>
      </c>
      <c r="B9">
        <v>1</v>
      </c>
      <c r="C9" t="s">
        <v>116</v>
      </c>
      <c r="D9">
        <v>32</v>
      </c>
      <c r="E9">
        <f t="shared" si="2"/>
        <v>16</v>
      </c>
      <c r="F9" t="s">
        <v>14</v>
      </c>
      <c r="J9">
        <v>184446</v>
      </c>
      <c r="M9">
        <f t="shared" si="3"/>
        <v>3.68892E-3</v>
      </c>
      <c r="O9">
        <v>7198392</v>
      </c>
      <c r="P9">
        <v>54702080</v>
      </c>
      <c r="Q9" s="1" t="s">
        <v>129</v>
      </c>
      <c r="S9">
        <f t="shared" si="0"/>
        <v>16</v>
      </c>
      <c r="T9">
        <f t="shared" si="1"/>
        <v>0</v>
      </c>
    </row>
    <row r="10" spans="1:20" x14ac:dyDescent="0.3">
      <c r="A10" t="s">
        <v>67</v>
      </c>
      <c r="B10">
        <v>1</v>
      </c>
      <c r="C10" t="s">
        <v>116</v>
      </c>
      <c r="D10">
        <v>71</v>
      </c>
      <c r="E10">
        <f t="shared" si="2"/>
        <v>39</v>
      </c>
      <c r="F10" t="s">
        <v>13</v>
      </c>
      <c r="G10">
        <f>G3+G4+G6</f>
        <v>67.66</v>
      </c>
      <c r="J10">
        <v>152319</v>
      </c>
      <c r="M10">
        <f t="shared" si="3"/>
        <v>3.04638E-3</v>
      </c>
      <c r="O10">
        <v>8687259</v>
      </c>
      <c r="P10">
        <v>55205888</v>
      </c>
      <c r="Q10" s="1" t="s">
        <v>131</v>
      </c>
      <c r="S10">
        <f t="shared" si="0"/>
        <v>0</v>
      </c>
      <c r="T10">
        <f t="shared" si="1"/>
        <v>0</v>
      </c>
    </row>
    <row r="11" spans="1:20" x14ac:dyDescent="0.3">
      <c r="A11" t="s">
        <v>67</v>
      </c>
      <c r="B11">
        <v>1</v>
      </c>
      <c r="C11" t="s">
        <v>116</v>
      </c>
      <c r="D11">
        <v>85</v>
      </c>
      <c r="E11">
        <f t="shared" si="2"/>
        <v>14</v>
      </c>
      <c r="F11" t="s">
        <v>12</v>
      </c>
      <c r="J11">
        <v>87951</v>
      </c>
      <c r="M11">
        <f t="shared" si="3"/>
        <v>1.75902E-3</v>
      </c>
      <c r="O11">
        <v>8687260</v>
      </c>
      <c r="P11">
        <v>55836672</v>
      </c>
      <c r="Q11" s="1" t="s">
        <v>132</v>
      </c>
      <c r="S11">
        <f t="shared" si="0"/>
        <v>0</v>
      </c>
      <c r="T11">
        <f t="shared" si="1"/>
        <v>14</v>
      </c>
    </row>
    <row r="12" spans="1:20" x14ac:dyDescent="0.3">
      <c r="A12" t="s">
        <v>67</v>
      </c>
      <c r="B12">
        <v>1</v>
      </c>
      <c r="C12" t="s">
        <v>116</v>
      </c>
      <c r="D12">
        <v>107</v>
      </c>
      <c r="E12">
        <f t="shared" si="2"/>
        <v>22</v>
      </c>
      <c r="F12" t="s">
        <v>11</v>
      </c>
      <c r="J12">
        <v>64951</v>
      </c>
      <c r="M12">
        <f t="shared" si="3"/>
        <v>1.2990200000000001E-3</v>
      </c>
      <c r="O12">
        <v>7198397</v>
      </c>
      <c r="P12">
        <v>55091200</v>
      </c>
      <c r="Q12" s="1" t="s">
        <v>130</v>
      </c>
      <c r="S12">
        <f t="shared" si="0"/>
        <v>0</v>
      </c>
      <c r="T12">
        <f t="shared" si="1"/>
        <v>0</v>
      </c>
    </row>
    <row r="13" spans="1:20" x14ac:dyDescent="0.3">
      <c r="A13" t="s">
        <v>67</v>
      </c>
      <c r="B13">
        <v>2</v>
      </c>
      <c r="C13" t="s">
        <v>115</v>
      </c>
      <c r="D13">
        <v>26</v>
      </c>
      <c r="E13">
        <f t="shared" si="2"/>
        <v>26</v>
      </c>
      <c r="F13" t="s">
        <v>15</v>
      </c>
      <c r="J13">
        <v>44114</v>
      </c>
      <c r="M13">
        <f t="shared" si="3"/>
        <v>8.8228000000000004E-4</v>
      </c>
      <c r="O13">
        <v>7198400</v>
      </c>
      <c r="P13">
        <v>55484416</v>
      </c>
      <c r="Q13" s="1" t="s">
        <v>378</v>
      </c>
      <c r="S13">
        <f t="shared" si="0"/>
        <v>0</v>
      </c>
      <c r="T13">
        <f t="shared" si="1"/>
        <v>0</v>
      </c>
    </row>
    <row r="14" spans="1:20" x14ac:dyDescent="0.3">
      <c r="A14" t="s">
        <v>67</v>
      </c>
      <c r="B14">
        <v>2</v>
      </c>
      <c r="C14" t="s">
        <v>115</v>
      </c>
      <c r="D14">
        <v>43</v>
      </c>
      <c r="E14">
        <f t="shared" si="2"/>
        <v>17</v>
      </c>
      <c r="F14" t="s">
        <v>14</v>
      </c>
      <c r="J14">
        <v>184434</v>
      </c>
      <c r="M14">
        <f>0.00000002*J14</f>
        <v>3.6886800000000002E-3</v>
      </c>
      <c r="O14">
        <v>7198401</v>
      </c>
      <c r="P14">
        <v>55480320</v>
      </c>
      <c r="Q14" s="1" t="s">
        <v>379</v>
      </c>
      <c r="S14">
        <f t="shared" si="0"/>
        <v>17</v>
      </c>
      <c r="T14">
        <f t="shared" si="1"/>
        <v>0</v>
      </c>
    </row>
    <row r="15" spans="1:20" x14ac:dyDescent="0.3">
      <c r="A15" t="s">
        <v>67</v>
      </c>
      <c r="B15">
        <v>2</v>
      </c>
      <c r="C15" t="s">
        <v>115</v>
      </c>
      <c r="D15">
        <v>69</v>
      </c>
      <c r="E15">
        <f t="shared" si="2"/>
        <v>26</v>
      </c>
      <c r="F15" t="s">
        <v>13</v>
      </c>
      <c r="J15">
        <v>152295</v>
      </c>
      <c r="M15">
        <f>0.00000002*J15</f>
        <v>3.0459000000000003E-3</v>
      </c>
      <c r="O15">
        <v>8687273</v>
      </c>
      <c r="P15">
        <v>55697408</v>
      </c>
      <c r="Q15" s="1" t="s">
        <v>524</v>
      </c>
      <c r="S15">
        <f t="shared" si="0"/>
        <v>0</v>
      </c>
      <c r="T15">
        <f t="shared" si="1"/>
        <v>0</v>
      </c>
    </row>
    <row r="16" spans="1:20" x14ac:dyDescent="0.3">
      <c r="A16" t="s">
        <v>67</v>
      </c>
      <c r="B16">
        <v>2</v>
      </c>
      <c r="C16" t="s">
        <v>115</v>
      </c>
      <c r="D16">
        <v>82</v>
      </c>
      <c r="E16">
        <f t="shared" si="2"/>
        <v>13</v>
      </c>
      <c r="F16" t="s">
        <v>12</v>
      </c>
      <c r="J16">
        <v>87939</v>
      </c>
      <c r="M16">
        <f t="shared" si="3"/>
        <v>1.7587799999999999E-3</v>
      </c>
      <c r="O16">
        <v>8687277</v>
      </c>
      <c r="P16">
        <v>55189504</v>
      </c>
      <c r="Q16" s="1" t="s">
        <v>525</v>
      </c>
      <c r="S16">
        <f t="shared" si="0"/>
        <v>0</v>
      </c>
      <c r="T16">
        <f t="shared" si="1"/>
        <v>13</v>
      </c>
    </row>
    <row r="17" spans="1:20" x14ac:dyDescent="0.3">
      <c r="A17" t="s">
        <v>67</v>
      </c>
      <c r="B17">
        <v>2</v>
      </c>
      <c r="C17" t="s">
        <v>115</v>
      </c>
      <c r="D17">
        <v>102</v>
      </c>
      <c r="E17">
        <f t="shared" si="2"/>
        <v>20</v>
      </c>
      <c r="F17" t="s">
        <v>11</v>
      </c>
      <c r="J17">
        <v>64939</v>
      </c>
      <c r="M17">
        <f t="shared" si="3"/>
        <v>1.29878E-3</v>
      </c>
      <c r="O17">
        <v>7198405</v>
      </c>
      <c r="P17">
        <v>55140352</v>
      </c>
      <c r="Q17" s="1" t="s">
        <v>380</v>
      </c>
      <c r="S17">
        <f t="shared" si="0"/>
        <v>0</v>
      </c>
      <c r="T17">
        <f t="shared" si="1"/>
        <v>0</v>
      </c>
    </row>
    <row r="18" spans="1:20" x14ac:dyDescent="0.3">
      <c r="A18" t="s">
        <v>67</v>
      </c>
      <c r="B18">
        <v>3</v>
      </c>
      <c r="C18" t="s">
        <v>114</v>
      </c>
      <c r="D18">
        <v>20</v>
      </c>
      <c r="E18">
        <f t="shared" si="2"/>
        <v>20</v>
      </c>
      <c r="F18" t="s">
        <v>15</v>
      </c>
      <c r="J18">
        <v>44114</v>
      </c>
      <c r="M18">
        <f t="shared" si="3"/>
        <v>8.8228000000000004E-4</v>
      </c>
      <c r="O18">
        <v>7198408</v>
      </c>
      <c r="P18">
        <v>55496704</v>
      </c>
      <c r="Q18" s="1" t="s">
        <v>381</v>
      </c>
      <c r="S18">
        <f t="shared" si="0"/>
        <v>0</v>
      </c>
      <c r="T18">
        <f t="shared" si="1"/>
        <v>0</v>
      </c>
    </row>
    <row r="19" spans="1:20" x14ac:dyDescent="0.3">
      <c r="A19" t="s">
        <v>67</v>
      </c>
      <c r="B19">
        <v>3</v>
      </c>
      <c r="C19" t="s">
        <v>114</v>
      </c>
      <c r="D19">
        <v>32</v>
      </c>
      <c r="E19">
        <f t="shared" si="2"/>
        <v>12</v>
      </c>
      <c r="F19" t="s">
        <v>14</v>
      </c>
      <c r="J19">
        <v>184446</v>
      </c>
      <c r="M19">
        <f t="shared" si="3"/>
        <v>3.68892E-3</v>
      </c>
      <c r="O19">
        <v>7198409</v>
      </c>
      <c r="P19">
        <v>55283712</v>
      </c>
      <c r="Q19" s="1" t="s">
        <v>382</v>
      </c>
      <c r="S19">
        <f t="shared" si="0"/>
        <v>12</v>
      </c>
      <c r="T19">
        <f t="shared" si="1"/>
        <v>0</v>
      </c>
    </row>
    <row r="20" spans="1:20" x14ac:dyDescent="0.3">
      <c r="A20" t="s">
        <v>67</v>
      </c>
      <c r="B20">
        <v>3</v>
      </c>
      <c r="C20" t="s">
        <v>114</v>
      </c>
      <c r="D20">
        <v>55</v>
      </c>
      <c r="E20">
        <f t="shared" si="2"/>
        <v>23</v>
      </c>
      <c r="F20" t="s">
        <v>13</v>
      </c>
      <c r="J20">
        <v>152319</v>
      </c>
      <c r="M20">
        <f t="shared" si="3"/>
        <v>3.04638E-3</v>
      </c>
      <c r="O20">
        <v>8687286</v>
      </c>
      <c r="P20">
        <v>55144448</v>
      </c>
      <c r="Q20" s="1" t="s">
        <v>526</v>
      </c>
      <c r="S20">
        <f t="shared" si="0"/>
        <v>0</v>
      </c>
      <c r="T20">
        <f t="shared" si="1"/>
        <v>0</v>
      </c>
    </row>
    <row r="21" spans="1:20" x14ac:dyDescent="0.3">
      <c r="A21" t="s">
        <v>67</v>
      </c>
      <c r="B21">
        <v>3</v>
      </c>
      <c r="C21" t="s">
        <v>114</v>
      </c>
      <c r="D21">
        <v>85</v>
      </c>
      <c r="E21">
        <f t="shared" si="2"/>
        <v>30</v>
      </c>
      <c r="F21" t="s">
        <v>12</v>
      </c>
      <c r="J21">
        <v>87951</v>
      </c>
      <c r="M21">
        <f t="shared" si="3"/>
        <v>1.75902E-3</v>
      </c>
      <c r="O21">
        <v>8687287</v>
      </c>
      <c r="P21">
        <v>55287808</v>
      </c>
      <c r="Q21" s="1" t="s">
        <v>527</v>
      </c>
      <c r="S21">
        <f t="shared" si="0"/>
        <v>0</v>
      </c>
      <c r="T21">
        <f t="shared" si="1"/>
        <v>30</v>
      </c>
    </row>
    <row r="22" spans="1:20" x14ac:dyDescent="0.3">
      <c r="A22" t="s">
        <v>67</v>
      </c>
      <c r="B22">
        <v>3</v>
      </c>
      <c r="C22" t="s">
        <v>114</v>
      </c>
      <c r="D22">
        <v>109</v>
      </c>
      <c r="E22">
        <f t="shared" si="2"/>
        <v>24</v>
      </c>
      <c r="F22" t="s">
        <v>11</v>
      </c>
      <c r="J22">
        <v>64951</v>
      </c>
      <c r="M22">
        <f t="shared" si="3"/>
        <v>1.2990200000000001E-3</v>
      </c>
      <c r="O22">
        <v>7198414</v>
      </c>
      <c r="P22">
        <v>55222272</v>
      </c>
      <c r="Q22" s="1" t="s">
        <v>383</v>
      </c>
      <c r="S22">
        <f t="shared" si="0"/>
        <v>0</v>
      </c>
      <c r="T22">
        <f t="shared" si="1"/>
        <v>0</v>
      </c>
    </row>
    <row r="23" spans="1:20" x14ac:dyDescent="0.3">
      <c r="A23" t="s">
        <v>67</v>
      </c>
      <c r="B23">
        <v>4</v>
      </c>
      <c r="C23" t="s">
        <v>113</v>
      </c>
      <c r="D23">
        <v>20</v>
      </c>
      <c r="E23">
        <f t="shared" si="2"/>
        <v>20</v>
      </c>
      <c r="F23" t="s">
        <v>15</v>
      </c>
      <c r="J23">
        <v>44114</v>
      </c>
      <c r="M23">
        <f t="shared" si="3"/>
        <v>8.8228000000000004E-4</v>
      </c>
      <c r="O23">
        <v>7198417</v>
      </c>
      <c r="P23">
        <v>55160832</v>
      </c>
      <c r="Q23" s="1" t="s">
        <v>384</v>
      </c>
      <c r="S23">
        <f t="shared" si="0"/>
        <v>0</v>
      </c>
      <c r="T23">
        <f t="shared" si="1"/>
        <v>0</v>
      </c>
    </row>
    <row r="24" spans="1:20" x14ac:dyDescent="0.3">
      <c r="A24" t="s">
        <v>67</v>
      </c>
      <c r="B24">
        <v>4</v>
      </c>
      <c r="C24" t="s">
        <v>113</v>
      </c>
      <c r="D24">
        <v>40</v>
      </c>
      <c r="E24">
        <f t="shared" si="2"/>
        <v>20</v>
      </c>
      <c r="F24" t="s">
        <v>14</v>
      </c>
      <c r="J24">
        <v>184446</v>
      </c>
      <c r="M24">
        <f t="shared" si="3"/>
        <v>3.68892E-3</v>
      </c>
      <c r="O24">
        <v>7198418</v>
      </c>
      <c r="P24">
        <v>55316480</v>
      </c>
      <c r="Q24" s="1" t="s">
        <v>385</v>
      </c>
      <c r="S24">
        <f t="shared" si="0"/>
        <v>20</v>
      </c>
      <c r="T24">
        <f t="shared" si="1"/>
        <v>0</v>
      </c>
    </row>
    <row r="25" spans="1:20" x14ac:dyDescent="0.3">
      <c r="A25" t="s">
        <v>67</v>
      </c>
      <c r="B25">
        <v>4</v>
      </c>
      <c r="C25" t="s">
        <v>113</v>
      </c>
      <c r="D25">
        <v>53</v>
      </c>
      <c r="E25">
        <f t="shared" si="2"/>
        <v>13</v>
      </c>
      <c r="F25" t="s">
        <v>13</v>
      </c>
      <c r="J25">
        <v>152319</v>
      </c>
      <c r="M25">
        <f t="shared" si="3"/>
        <v>3.04638E-3</v>
      </c>
      <c r="O25">
        <v>8687297</v>
      </c>
      <c r="P25">
        <v>56066048</v>
      </c>
      <c r="Q25" s="1" t="s">
        <v>528</v>
      </c>
      <c r="S25">
        <f t="shared" si="0"/>
        <v>0</v>
      </c>
      <c r="T25">
        <f t="shared" si="1"/>
        <v>0</v>
      </c>
    </row>
    <row r="26" spans="1:20" x14ac:dyDescent="0.3">
      <c r="A26" t="s">
        <v>67</v>
      </c>
      <c r="B26">
        <v>4</v>
      </c>
      <c r="C26" t="s">
        <v>113</v>
      </c>
      <c r="D26">
        <v>91</v>
      </c>
      <c r="E26">
        <f t="shared" si="2"/>
        <v>38</v>
      </c>
      <c r="F26" t="s">
        <v>12</v>
      </c>
      <c r="J26">
        <v>87939</v>
      </c>
      <c r="M26">
        <f t="shared" si="3"/>
        <v>1.7587799999999999E-3</v>
      </c>
      <c r="O26">
        <v>8687300</v>
      </c>
      <c r="P26">
        <v>55709696</v>
      </c>
      <c r="Q26" s="1" t="s">
        <v>529</v>
      </c>
      <c r="S26">
        <f t="shared" si="0"/>
        <v>0</v>
      </c>
      <c r="T26">
        <f t="shared" si="1"/>
        <v>38</v>
      </c>
    </row>
    <row r="27" spans="1:20" x14ac:dyDescent="0.3">
      <c r="A27" t="s">
        <v>67</v>
      </c>
      <c r="B27">
        <v>4</v>
      </c>
      <c r="C27" t="s">
        <v>113</v>
      </c>
      <c r="D27">
        <v>111</v>
      </c>
      <c r="E27">
        <f t="shared" si="2"/>
        <v>20</v>
      </c>
      <c r="F27" t="s">
        <v>11</v>
      </c>
      <c r="J27">
        <v>64939</v>
      </c>
      <c r="M27">
        <f t="shared" si="3"/>
        <v>1.29878E-3</v>
      </c>
      <c r="O27">
        <v>7198423</v>
      </c>
      <c r="P27">
        <v>55275520</v>
      </c>
      <c r="Q27" s="1" t="s">
        <v>386</v>
      </c>
      <c r="S27">
        <f t="shared" si="0"/>
        <v>0</v>
      </c>
      <c r="T27">
        <f t="shared" si="1"/>
        <v>0</v>
      </c>
    </row>
    <row r="28" spans="1:20" x14ac:dyDescent="0.3">
      <c r="A28" t="s">
        <v>67</v>
      </c>
      <c r="B28">
        <v>5</v>
      </c>
      <c r="C28" t="s">
        <v>112</v>
      </c>
      <c r="D28">
        <v>24</v>
      </c>
      <c r="E28">
        <f t="shared" si="2"/>
        <v>24</v>
      </c>
      <c r="F28" t="s">
        <v>15</v>
      </c>
      <c r="J28">
        <v>44114</v>
      </c>
      <c r="M28">
        <f t="shared" si="3"/>
        <v>8.8228000000000004E-4</v>
      </c>
      <c r="O28">
        <v>7198426</v>
      </c>
      <c r="P28">
        <v>57077760</v>
      </c>
      <c r="Q28" s="1" t="s">
        <v>387</v>
      </c>
      <c r="S28">
        <f t="shared" si="0"/>
        <v>0</v>
      </c>
      <c r="T28">
        <f t="shared" si="1"/>
        <v>0</v>
      </c>
    </row>
    <row r="29" spans="1:20" x14ac:dyDescent="0.3">
      <c r="A29" t="s">
        <v>67</v>
      </c>
      <c r="B29">
        <v>5</v>
      </c>
      <c r="C29" t="s">
        <v>112</v>
      </c>
      <c r="D29">
        <v>36</v>
      </c>
      <c r="E29">
        <f t="shared" si="2"/>
        <v>12</v>
      </c>
      <c r="F29" t="s">
        <v>14</v>
      </c>
      <c r="J29">
        <v>184446</v>
      </c>
      <c r="M29">
        <f t="shared" si="3"/>
        <v>3.68892E-3</v>
      </c>
      <c r="O29">
        <v>7198427</v>
      </c>
      <c r="P29">
        <v>57331712</v>
      </c>
      <c r="Q29" s="1" t="s">
        <v>388</v>
      </c>
      <c r="S29">
        <f t="shared" si="0"/>
        <v>12</v>
      </c>
      <c r="T29">
        <f t="shared" si="1"/>
        <v>0</v>
      </c>
    </row>
    <row r="30" spans="1:20" x14ac:dyDescent="0.3">
      <c r="A30" t="s">
        <v>67</v>
      </c>
      <c r="B30">
        <v>5</v>
      </c>
      <c r="C30" t="s">
        <v>112</v>
      </c>
      <c r="D30">
        <v>49</v>
      </c>
      <c r="E30">
        <f t="shared" si="2"/>
        <v>13</v>
      </c>
      <c r="F30" t="s">
        <v>13</v>
      </c>
      <c r="J30">
        <v>152307</v>
      </c>
      <c r="M30">
        <f t="shared" si="3"/>
        <v>3.0461400000000001E-3</v>
      </c>
      <c r="O30">
        <v>8687315</v>
      </c>
      <c r="P30">
        <v>57307136</v>
      </c>
      <c r="Q30" s="1" t="s">
        <v>530</v>
      </c>
      <c r="S30">
        <f t="shared" si="0"/>
        <v>0</v>
      </c>
      <c r="T30">
        <f t="shared" si="1"/>
        <v>0</v>
      </c>
    </row>
    <row r="31" spans="1:20" x14ac:dyDescent="0.3">
      <c r="A31" t="s">
        <v>67</v>
      </c>
      <c r="B31">
        <v>5</v>
      </c>
      <c r="C31" t="s">
        <v>112</v>
      </c>
      <c r="D31">
        <v>95</v>
      </c>
      <c r="E31">
        <f t="shared" si="2"/>
        <v>46</v>
      </c>
      <c r="F31" t="s">
        <v>12</v>
      </c>
      <c r="J31">
        <v>87939</v>
      </c>
      <c r="M31">
        <f t="shared" si="3"/>
        <v>1.7587799999999999E-3</v>
      </c>
      <c r="O31">
        <v>8687318</v>
      </c>
      <c r="P31">
        <v>57679872</v>
      </c>
      <c r="Q31" s="1" t="s">
        <v>531</v>
      </c>
      <c r="S31">
        <f t="shared" si="0"/>
        <v>0</v>
      </c>
      <c r="T31">
        <f t="shared" si="1"/>
        <v>46</v>
      </c>
    </row>
    <row r="32" spans="1:20" x14ac:dyDescent="0.3">
      <c r="A32" t="s">
        <v>67</v>
      </c>
      <c r="B32">
        <v>5</v>
      </c>
      <c r="C32" t="s">
        <v>112</v>
      </c>
      <c r="D32">
        <v>111</v>
      </c>
      <c r="E32">
        <f t="shared" si="2"/>
        <v>16</v>
      </c>
      <c r="F32" t="s">
        <v>11</v>
      </c>
      <c r="J32">
        <v>64939</v>
      </c>
      <c r="M32">
        <f t="shared" si="3"/>
        <v>1.29878E-3</v>
      </c>
      <c r="O32">
        <v>7198432</v>
      </c>
      <c r="P32">
        <v>57438208</v>
      </c>
      <c r="Q32" s="1" t="s">
        <v>389</v>
      </c>
      <c r="S32">
        <f t="shared" si="0"/>
        <v>0</v>
      </c>
      <c r="T32">
        <f t="shared" si="1"/>
        <v>0</v>
      </c>
    </row>
    <row r="33" spans="1:20" x14ac:dyDescent="0.3">
      <c r="A33" t="s">
        <v>67</v>
      </c>
      <c r="B33">
        <v>6</v>
      </c>
      <c r="C33" t="s">
        <v>111</v>
      </c>
      <c r="D33">
        <v>24</v>
      </c>
      <c r="E33">
        <f t="shared" si="2"/>
        <v>24</v>
      </c>
      <c r="F33" t="s">
        <v>15</v>
      </c>
      <c r="J33">
        <v>44114</v>
      </c>
      <c r="M33">
        <f t="shared" si="3"/>
        <v>8.8228000000000004E-4</v>
      </c>
      <c r="O33">
        <v>7198435</v>
      </c>
      <c r="P33">
        <v>57761792</v>
      </c>
      <c r="Q33" s="1" t="s">
        <v>390</v>
      </c>
      <c r="S33">
        <f t="shared" si="0"/>
        <v>0</v>
      </c>
      <c r="T33">
        <f t="shared" si="1"/>
        <v>0</v>
      </c>
    </row>
    <row r="34" spans="1:20" x14ac:dyDescent="0.3">
      <c r="A34" t="s">
        <v>67</v>
      </c>
      <c r="B34">
        <v>6</v>
      </c>
      <c r="C34" t="s">
        <v>111</v>
      </c>
      <c r="D34">
        <v>40</v>
      </c>
      <c r="E34">
        <f t="shared" si="2"/>
        <v>16</v>
      </c>
      <c r="F34" t="s">
        <v>14</v>
      </c>
      <c r="J34">
        <v>184446</v>
      </c>
      <c r="M34">
        <f t="shared" si="3"/>
        <v>3.68892E-3</v>
      </c>
      <c r="O34">
        <v>7198436</v>
      </c>
      <c r="P34">
        <v>57270272</v>
      </c>
      <c r="Q34" s="1" t="s">
        <v>391</v>
      </c>
      <c r="S34">
        <f t="shared" si="0"/>
        <v>16</v>
      </c>
      <c r="T34">
        <f t="shared" si="1"/>
        <v>0</v>
      </c>
    </row>
    <row r="35" spans="1:20" x14ac:dyDescent="0.3">
      <c r="A35" t="s">
        <v>67</v>
      </c>
      <c r="B35">
        <v>6</v>
      </c>
      <c r="C35" t="s">
        <v>111</v>
      </c>
      <c r="D35">
        <v>68</v>
      </c>
      <c r="E35">
        <f t="shared" si="2"/>
        <v>28</v>
      </c>
      <c r="F35" t="s">
        <v>13</v>
      </c>
      <c r="J35">
        <v>152319</v>
      </c>
      <c r="M35">
        <f t="shared" si="3"/>
        <v>3.04638E-3</v>
      </c>
      <c r="O35">
        <v>8687333</v>
      </c>
      <c r="P35">
        <v>57536512</v>
      </c>
      <c r="Q35" s="1" t="s">
        <v>532</v>
      </c>
      <c r="S35">
        <f t="shared" ref="S35:S66" si="5">IF(F35="exitTransaction",E35,0)</f>
        <v>0</v>
      </c>
      <c r="T35">
        <f t="shared" ref="T35:T66" si="6">IF(F35="entryTransaction",E35,0)</f>
        <v>0</v>
      </c>
    </row>
    <row r="36" spans="1:20" x14ac:dyDescent="0.3">
      <c r="A36" t="s">
        <v>67</v>
      </c>
      <c r="B36">
        <v>6</v>
      </c>
      <c r="C36" t="s">
        <v>111</v>
      </c>
      <c r="D36">
        <v>103</v>
      </c>
      <c r="E36">
        <f t="shared" si="2"/>
        <v>35</v>
      </c>
      <c r="F36" t="s">
        <v>12</v>
      </c>
      <c r="J36">
        <v>87951</v>
      </c>
      <c r="M36">
        <f t="shared" si="3"/>
        <v>1.75902E-3</v>
      </c>
      <c r="O36">
        <v>8687336</v>
      </c>
      <c r="P36">
        <v>57729024</v>
      </c>
      <c r="Q36" s="1" t="s">
        <v>533</v>
      </c>
      <c r="S36">
        <f t="shared" si="5"/>
        <v>0</v>
      </c>
      <c r="T36">
        <f t="shared" si="6"/>
        <v>35</v>
      </c>
    </row>
    <row r="37" spans="1:20" x14ac:dyDescent="0.3">
      <c r="A37" t="s">
        <v>67</v>
      </c>
      <c r="B37">
        <v>6</v>
      </c>
      <c r="C37" t="s">
        <v>111</v>
      </c>
      <c r="D37">
        <v>129</v>
      </c>
      <c r="E37">
        <f t="shared" si="2"/>
        <v>26</v>
      </c>
      <c r="F37" t="s">
        <v>11</v>
      </c>
      <c r="J37">
        <v>64951</v>
      </c>
      <c r="M37">
        <f t="shared" si="3"/>
        <v>1.2990200000000001E-3</v>
      </c>
      <c r="O37">
        <v>7198442</v>
      </c>
      <c r="P37">
        <v>58064896</v>
      </c>
      <c r="Q37" s="1" t="s">
        <v>392</v>
      </c>
      <c r="S37">
        <f t="shared" si="5"/>
        <v>0</v>
      </c>
      <c r="T37">
        <f t="shared" si="6"/>
        <v>0</v>
      </c>
    </row>
    <row r="38" spans="1:20" x14ac:dyDescent="0.3">
      <c r="A38" t="s">
        <v>67</v>
      </c>
      <c r="B38">
        <v>7</v>
      </c>
      <c r="C38" t="s">
        <v>110</v>
      </c>
      <c r="D38">
        <v>20</v>
      </c>
      <c r="E38">
        <f t="shared" si="2"/>
        <v>20</v>
      </c>
      <c r="F38" t="s">
        <v>15</v>
      </c>
      <c r="J38">
        <v>44114</v>
      </c>
      <c r="M38">
        <f t="shared" si="3"/>
        <v>8.8228000000000004E-4</v>
      </c>
      <c r="O38">
        <v>7198445</v>
      </c>
      <c r="P38">
        <v>57905152</v>
      </c>
      <c r="Q38" s="1" t="s">
        <v>393</v>
      </c>
      <c r="S38">
        <f t="shared" si="5"/>
        <v>0</v>
      </c>
      <c r="T38">
        <f t="shared" si="6"/>
        <v>0</v>
      </c>
    </row>
    <row r="39" spans="1:20" x14ac:dyDescent="0.3">
      <c r="A39" t="s">
        <v>67</v>
      </c>
      <c r="B39">
        <v>7</v>
      </c>
      <c r="C39" t="s">
        <v>110</v>
      </c>
      <c r="D39">
        <v>36</v>
      </c>
      <c r="E39">
        <f t="shared" si="2"/>
        <v>16</v>
      </c>
      <c r="F39" t="s">
        <v>14</v>
      </c>
      <c r="J39">
        <v>184446</v>
      </c>
      <c r="M39">
        <f t="shared" si="3"/>
        <v>3.68892E-3</v>
      </c>
      <c r="O39">
        <v>7198446</v>
      </c>
      <c r="P39">
        <v>57528320</v>
      </c>
      <c r="Q39" s="1" t="s">
        <v>394</v>
      </c>
      <c r="S39">
        <f t="shared" si="5"/>
        <v>16</v>
      </c>
      <c r="T39">
        <f t="shared" si="6"/>
        <v>0</v>
      </c>
    </row>
    <row r="40" spans="1:20" x14ac:dyDescent="0.3">
      <c r="A40" t="s">
        <v>67</v>
      </c>
      <c r="B40">
        <v>7</v>
      </c>
      <c r="C40" t="s">
        <v>110</v>
      </c>
      <c r="D40">
        <v>57</v>
      </c>
      <c r="E40">
        <f t="shared" si="2"/>
        <v>21</v>
      </c>
      <c r="F40" t="s">
        <v>13</v>
      </c>
      <c r="J40">
        <v>152319</v>
      </c>
      <c r="M40">
        <f t="shared" si="3"/>
        <v>3.04638E-3</v>
      </c>
      <c r="O40">
        <v>8687348</v>
      </c>
      <c r="P40">
        <v>57569280</v>
      </c>
      <c r="Q40" s="1" t="s">
        <v>534</v>
      </c>
      <c r="S40">
        <f t="shared" si="5"/>
        <v>0</v>
      </c>
      <c r="T40">
        <f t="shared" si="6"/>
        <v>0</v>
      </c>
    </row>
    <row r="41" spans="1:20" x14ac:dyDescent="0.3">
      <c r="A41" t="s">
        <v>67</v>
      </c>
      <c r="B41">
        <v>7</v>
      </c>
      <c r="C41" t="s">
        <v>110</v>
      </c>
      <c r="D41">
        <v>71</v>
      </c>
      <c r="E41">
        <f t="shared" si="2"/>
        <v>14</v>
      </c>
      <c r="F41" t="s">
        <v>12</v>
      </c>
      <c r="J41">
        <v>87951</v>
      </c>
      <c r="M41">
        <f t="shared" si="3"/>
        <v>1.75902E-3</v>
      </c>
      <c r="O41">
        <v>8687352</v>
      </c>
      <c r="P41">
        <v>58265600</v>
      </c>
      <c r="Q41" s="1" t="s">
        <v>535</v>
      </c>
      <c r="S41">
        <f t="shared" si="5"/>
        <v>0</v>
      </c>
      <c r="T41">
        <f t="shared" si="6"/>
        <v>14</v>
      </c>
    </row>
    <row r="42" spans="1:20" x14ac:dyDescent="0.3">
      <c r="A42" t="s">
        <v>67</v>
      </c>
      <c r="B42">
        <v>7</v>
      </c>
      <c r="C42" t="s">
        <v>110</v>
      </c>
      <c r="D42">
        <v>83</v>
      </c>
      <c r="E42">
        <f t="shared" si="2"/>
        <v>12</v>
      </c>
      <c r="F42" t="s">
        <v>11</v>
      </c>
      <c r="J42">
        <v>64951</v>
      </c>
      <c r="M42">
        <f t="shared" si="3"/>
        <v>1.2990200000000001E-3</v>
      </c>
      <c r="O42">
        <v>7198449</v>
      </c>
      <c r="P42">
        <v>57868288</v>
      </c>
      <c r="Q42" s="1" t="s">
        <v>395</v>
      </c>
      <c r="S42">
        <f t="shared" si="5"/>
        <v>0</v>
      </c>
      <c r="T42">
        <f t="shared" si="6"/>
        <v>0</v>
      </c>
    </row>
    <row r="43" spans="1:20" x14ac:dyDescent="0.3">
      <c r="A43" t="s">
        <v>67</v>
      </c>
      <c r="B43">
        <v>8</v>
      </c>
      <c r="C43" t="s">
        <v>109</v>
      </c>
      <c r="D43">
        <v>20</v>
      </c>
      <c r="E43">
        <f t="shared" si="2"/>
        <v>20</v>
      </c>
      <c r="F43" t="s">
        <v>15</v>
      </c>
      <c r="J43">
        <v>44114</v>
      </c>
      <c r="M43">
        <f t="shared" si="3"/>
        <v>8.8228000000000004E-4</v>
      </c>
      <c r="O43">
        <v>7198452</v>
      </c>
      <c r="P43">
        <v>58499072</v>
      </c>
      <c r="Q43" s="1" t="s">
        <v>396</v>
      </c>
      <c r="S43">
        <f t="shared" si="5"/>
        <v>0</v>
      </c>
      <c r="T43">
        <f t="shared" si="6"/>
        <v>0</v>
      </c>
    </row>
    <row r="44" spans="1:20" x14ac:dyDescent="0.3">
      <c r="A44" t="s">
        <v>67</v>
      </c>
      <c r="B44">
        <v>8</v>
      </c>
      <c r="C44" t="s">
        <v>109</v>
      </c>
      <c r="D44">
        <v>36</v>
      </c>
      <c r="E44">
        <f t="shared" si="2"/>
        <v>16</v>
      </c>
      <c r="F44" t="s">
        <v>14</v>
      </c>
      <c r="J44">
        <v>184446</v>
      </c>
      <c r="M44">
        <f t="shared" si="3"/>
        <v>3.68892E-3</v>
      </c>
      <c r="O44">
        <v>7198453</v>
      </c>
      <c r="P44">
        <v>58527744</v>
      </c>
      <c r="Q44" s="1" t="s">
        <v>397</v>
      </c>
      <c r="S44">
        <f t="shared" si="5"/>
        <v>16</v>
      </c>
      <c r="T44">
        <f t="shared" si="6"/>
        <v>0</v>
      </c>
    </row>
    <row r="45" spans="1:20" x14ac:dyDescent="0.3">
      <c r="A45" t="s">
        <v>67</v>
      </c>
      <c r="B45">
        <v>8</v>
      </c>
      <c r="C45" t="s">
        <v>109</v>
      </c>
      <c r="D45">
        <v>59</v>
      </c>
      <c r="E45">
        <f t="shared" si="2"/>
        <v>23</v>
      </c>
      <c r="F45" t="s">
        <v>13</v>
      </c>
      <c r="J45">
        <v>152307</v>
      </c>
      <c r="M45">
        <f t="shared" si="3"/>
        <v>3.0461400000000001E-3</v>
      </c>
      <c r="O45">
        <v>8687363</v>
      </c>
      <c r="P45">
        <v>58695680</v>
      </c>
      <c r="Q45" s="1" t="s">
        <v>536</v>
      </c>
      <c r="S45">
        <f t="shared" si="5"/>
        <v>0</v>
      </c>
      <c r="T45">
        <f t="shared" si="6"/>
        <v>0</v>
      </c>
    </row>
    <row r="46" spans="1:20" x14ac:dyDescent="0.3">
      <c r="A46" t="s">
        <v>67</v>
      </c>
      <c r="B46">
        <v>8</v>
      </c>
      <c r="C46" t="s">
        <v>109</v>
      </c>
      <c r="D46">
        <v>93</v>
      </c>
      <c r="E46">
        <f t="shared" si="2"/>
        <v>34</v>
      </c>
      <c r="F46" t="s">
        <v>12</v>
      </c>
      <c r="J46">
        <v>87939</v>
      </c>
      <c r="M46">
        <f t="shared" si="3"/>
        <v>1.7587799999999999E-3</v>
      </c>
      <c r="O46">
        <v>8687367</v>
      </c>
      <c r="P46">
        <v>58576896</v>
      </c>
      <c r="Q46" s="1" t="s">
        <v>537</v>
      </c>
      <c r="S46">
        <f t="shared" si="5"/>
        <v>0</v>
      </c>
      <c r="T46">
        <f t="shared" si="6"/>
        <v>34</v>
      </c>
    </row>
    <row r="47" spans="1:20" x14ac:dyDescent="0.3">
      <c r="A47" t="s">
        <v>67</v>
      </c>
      <c r="B47">
        <v>8</v>
      </c>
      <c r="C47" t="s">
        <v>109</v>
      </c>
      <c r="D47">
        <v>113</v>
      </c>
      <c r="E47">
        <f>IF(B47&lt;&gt;B46,D47,D47-D46)</f>
        <v>20</v>
      </c>
      <c r="F47" t="s">
        <v>11</v>
      </c>
      <c r="J47">
        <v>64939</v>
      </c>
      <c r="M47">
        <f t="shared" si="3"/>
        <v>1.29878E-3</v>
      </c>
      <c r="O47">
        <v>7198458</v>
      </c>
      <c r="P47">
        <v>58306560</v>
      </c>
      <c r="Q47" s="1" t="s">
        <v>398</v>
      </c>
      <c r="S47">
        <f t="shared" si="5"/>
        <v>0</v>
      </c>
      <c r="T47">
        <f t="shared" si="6"/>
        <v>0</v>
      </c>
    </row>
    <row r="48" spans="1:20" x14ac:dyDescent="0.3">
      <c r="A48" t="s">
        <v>67</v>
      </c>
      <c r="B48">
        <v>9</v>
      </c>
      <c r="C48" t="s">
        <v>108</v>
      </c>
      <c r="D48">
        <v>20</v>
      </c>
      <c r="E48">
        <f t="shared" si="2"/>
        <v>20</v>
      </c>
      <c r="F48" t="s">
        <v>15</v>
      </c>
      <c r="J48">
        <v>44114</v>
      </c>
      <c r="M48">
        <f t="shared" si="3"/>
        <v>8.8228000000000004E-4</v>
      </c>
      <c r="O48">
        <v>7198461</v>
      </c>
      <c r="P48">
        <v>57880576</v>
      </c>
      <c r="Q48" s="1" t="s">
        <v>399</v>
      </c>
      <c r="S48">
        <f t="shared" si="5"/>
        <v>0</v>
      </c>
      <c r="T48">
        <f t="shared" si="6"/>
        <v>0</v>
      </c>
    </row>
    <row r="49" spans="1:20" x14ac:dyDescent="0.3">
      <c r="A49" t="s">
        <v>67</v>
      </c>
      <c r="B49">
        <v>9</v>
      </c>
      <c r="C49" t="s">
        <v>108</v>
      </c>
      <c r="D49">
        <v>33</v>
      </c>
      <c r="E49">
        <f t="shared" si="2"/>
        <v>13</v>
      </c>
      <c r="F49" t="s">
        <v>14</v>
      </c>
      <c r="J49">
        <v>184446</v>
      </c>
      <c r="M49">
        <f t="shared" si="3"/>
        <v>3.68892E-3</v>
      </c>
      <c r="O49">
        <v>7198462</v>
      </c>
      <c r="P49">
        <v>58695680</v>
      </c>
      <c r="Q49" s="1" t="s">
        <v>400</v>
      </c>
      <c r="S49">
        <f t="shared" si="5"/>
        <v>13</v>
      </c>
      <c r="T49">
        <f t="shared" si="6"/>
        <v>0</v>
      </c>
    </row>
    <row r="50" spans="1:20" x14ac:dyDescent="0.3">
      <c r="A50" t="s">
        <v>67</v>
      </c>
      <c r="B50">
        <v>9</v>
      </c>
      <c r="C50" t="s">
        <v>108</v>
      </c>
      <c r="D50">
        <v>49</v>
      </c>
      <c r="E50">
        <f t="shared" si="2"/>
        <v>16</v>
      </c>
      <c r="F50" t="s">
        <v>13</v>
      </c>
      <c r="J50">
        <v>152319</v>
      </c>
      <c r="M50">
        <f t="shared" si="3"/>
        <v>3.04638E-3</v>
      </c>
      <c r="O50">
        <v>8687377</v>
      </c>
      <c r="P50">
        <v>58621952</v>
      </c>
      <c r="Q50" s="1" t="s">
        <v>538</v>
      </c>
      <c r="S50">
        <f t="shared" si="5"/>
        <v>0</v>
      </c>
      <c r="T50">
        <f t="shared" si="6"/>
        <v>0</v>
      </c>
    </row>
    <row r="51" spans="1:20" x14ac:dyDescent="0.3">
      <c r="A51" t="s">
        <v>67</v>
      </c>
      <c r="B51">
        <v>9</v>
      </c>
      <c r="C51" t="s">
        <v>108</v>
      </c>
      <c r="D51">
        <v>94</v>
      </c>
      <c r="E51">
        <f t="shared" si="2"/>
        <v>45</v>
      </c>
      <c r="F51" t="s">
        <v>12</v>
      </c>
      <c r="J51">
        <v>87951</v>
      </c>
      <c r="M51">
        <f t="shared" si="3"/>
        <v>1.75902E-3</v>
      </c>
      <c r="O51">
        <v>8687379</v>
      </c>
      <c r="P51">
        <v>59318272</v>
      </c>
      <c r="Q51" s="1" t="s">
        <v>539</v>
      </c>
      <c r="S51">
        <f t="shared" si="5"/>
        <v>0</v>
      </c>
      <c r="T51">
        <f t="shared" si="6"/>
        <v>45</v>
      </c>
    </row>
    <row r="52" spans="1:20" x14ac:dyDescent="0.3">
      <c r="A52" t="s">
        <v>67</v>
      </c>
      <c r="B52">
        <v>9</v>
      </c>
      <c r="C52" t="s">
        <v>108</v>
      </c>
      <c r="D52">
        <v>106</v>
      </c>
      <c r="E52">
        <f t="shared" si="2"/>
        <v>12</v>
      </c>
      <c r="F52" t="s">
        <v>11</v>
      </c>
      <c r="J52">
        <v>64951</v>
      </c>
      <c r="M52">
        <f t="shared" si="3"/>
        <v>1.2990200000000001E-3</v>
      </c>
      <c r="O52">
        <v>7198467</v>
      </c>
      <c r="P52">
        <v>59109376</v>
      </c>
      <c r="Q52" s="1" t="s">
        <v>401</v>
      </c>
      <c r="S52">
        <f t="shared" si="5"/>
        <v>0</v>
      </c>
      <c r="T52">
        <f t="shared" si="6"/>
        <v>0</v>
      </c>
    </row>
    <row r="53" spans="1:20" x14ac:dyDescent="0.3">
      <c r="A53" t="s">
        <v>67</v>
      </c>
      <c r="B53">
        <v>10</v>
      </c>
      <c r="C53" t="s">
        <v>107</v>
      </c>
      <c r="D53">
        <v>12</v>
      </c>
      <c r="E53">
        <f t="shared" si="2"/>
        <v>12</v>
      </c>
      <c r="F53" t="s">
        <v>15</v>
      </c>
      <c r="J53">
        <v>44114</v>
      </c>
      <c r="M53">
        <f t="shared" si="3"/>
        <v>8.8228000000000004E-4</v>
      </c>
      <c r="O53">
        <v>7198469</v>
      </c>
      <c r="P53">
        <v>59564032</v>
      </c>
      <c r="Q53" s="1" t="s">
        <v>402</v>
      </c>
      <c r="S53">
        <f t="shared" si="5"/>
        <v>0</v>
      </c>
      <c r="T53">
        <f t="shared" si="6"/>
        <v>0</v>
      </c>
    </row>
    <row r="54" spans="1:20" x14ac:dyDescent="0.3">
      <c r="A54" t="s">
        <v>67</v>
      </c>
      <c r="B54">
        <v>10</v>
      </c>
      <c r="C54" t="s">
        <v>107</v>
      </c>
      <c r="D54">
        <v>28</v>
      </c>
      <c r="E54">
        <f t="shared" si="2"/>
        <v>16</v>
      </c>
      <c r="F54" t="s">
        <v>14</v>
      </c>
      <c r="J54">
        <v>184434</v>
      </c>
      <c r="M54">
        <f t="shared" si="3"/>
        <v>3.6886800000000002E-3</v>
      </c>
      <c r="O54">
        <v>7198470</v>
      </c>
      <c r="P54">
        <v>59482112</v>
      </c>
      <c r="Q54" s="1" t="s">
        <v>403</v>
      </c>
      <c r="S54">
        <f t="shared" si="5"/>
        <v>16</v>
      </c>
      <c r="T54">
        <f t="shared" si="6"/>
        <v>0</v>
      </c>
    </row>
    <row r="55" spans="1:20" x14ac:dyDescent="0.3">
      <c r="A55" t="s">
        <v>67</v>
      </c>
      <c r="B55">
        <v>10</v>
      </c>
      <c r="C55" t="s">
        <v>107</v>
      </c>
      <c r="D55">
        <v>52</v>
      </c>
      <c r="E55">
        <f t="shared" si="2"/>
        <v>24</v>
      </c>
      <c r="F55" t="s">
        <v>13</v>
      </c>
      <c r="J55">
        <v>152307</v>
      </c>
      <c r="M55">
        <f t="shared" si="3"/>
        <v>3.0461400000000001E-3</v>
      </c>
      <c r="O55">
        <v>8687389</v>
      </c>
      <c r="P55">
        <v>59990016</v>
      </c>
      <c r="Q55" s="1" t="s">
        <v>540</v>
      </c>
      <c r="S55">
        <f t="shared" si="5"/>
        <v>0</v>
      </c>
      <c r="T55">
        <f t="shared" si="6"/>
        <v>0</v>
      </c>
    </row>
    <row r="56" spans="1:20" x14ac:dyDescent="0.3">
      <c r="A56" t="s">
        <v>67</v>
      </c>
      <c r="B56">
        <v>10</v>
      </c>
      <c r="C56" t="s">
        <v>107</v>
      </c>
      <c r="D56">
        <v>91</v>
      </c>
      <c r="E56">
        <f t="shared" si="2"/>
        <v>39</v>
      </c>
      <c r="F56" t="s">
        <v>12</v>
      </c>
      <c r="J56">
        <v>87951</v>
      </c>
      <c r="M56">
        <f t="shared" si="3"/>
        <v>1.75902E-3</v>
      </c>
      <c r="O56">
        <v>8687394</v>
      </c>
      <c r="P56">
        <v>60370944</v>
      </c>
      <c r="Q56" s="1" t="s">
        <v>541</v>
      </c>
      <c r="S56">
        <f t="shared" si="5"/>
        <v>0</v>
      </c>
      <c r="T56">
        <f t="shared" si="6"/>
        <v>39</v>
      </c>
    </row>
    <row r="57" spans="1:20" x14ac:dyDescent="0.3">
      <c r="A57" t="s">
        <v>67</v>
      </c>
      <c r="B57">
        <v>10</v>
      </c>
      <c r="C57" t="s">
        <v>107</v>
      </c>
      <c r="D57">
        <v>117</v>
      </c>
      <c r="E57">
        <f t="shared" si="2"/>
        <v>26</v>
      </c>
      <c r="F57" t="s">
        <v>11</v>
      </c>
      <c r="J57">
        <v>64951</v>
      </c>
      <c r="M57">
        <f t="shared" si="3"/>
        <v>1.2990200000000001E-3</v>
      </c>
      <c r="O57">
        <v>7198476</v>
      </c>
      <c r="P57">
        <v>50708480</v>
      </c>
      <c r="Q57" s="1" t="s">
        <v>404</v>
      </c>
      <c r="S57">
        <f t="shared" si="5"/>
        <v>0</v>
      </c>
      <c r="T57">
        <f t="shared" si="6"/>
        <v>0</v>
      </c>
    </row>
    <row r="58" spans="1:20" x14ac:dyDescent="0.3">
      <c r="A58" t="s">
        <v>67</v>
      </c>
      <c r="B58">
        <v>11</v>
      </c>
      <c r="C58" t="s">
        <v>106</v>
      </c>
      <c r="D58">
        <v>20</v>
      </c>
      <c r="E58">
        <f t="shared" si="2"/>
        <v>20</v>
      </c>
      <c r="F58" t="s">
        <v>15</v>
      </c>
      <c r="J58">
        <v>44114</v>
      </c>
      <c r="M58">
        <f t="shared" si="3"/>
        <v>8.8228000000000004E-4</v>
      </c>
      <c r="O58">
        <v>7198479</v>
      </c>
      <c r="P58">
        <v>51552256</v>
      </c>
      <c r="Q58" s="1" t="s">
        <v>405</v>
      </c>
      <c r="S58">
        <f t="shared" si="5"/>
        <v>0</v>
      </c>
      <c r="T58">
        <f t="shared" si="6"/>
        <v>0</v>
      </c>
    </row>
    <row r="59" spans="1:20" x14ac:dyDescent="0.3">
      <c r="A59" t="s">
        <v>67</v>
      </c>
      <c r="B59">
        <v>11</v>
      </c>
      <c r="C59" t="s">
        <v>106</v>
      </c>
      <c r="D59">
        <v>41</v>
      </c>
      <c r="E59">
        <f t="shared" si="2"/>
        <v>21</v>
      </c>
      <c r="F59" t="s">
        <v>14</v>
      </c>
      <c r="J59">
        <v>184446</v>
      </c>
      <c r="M59">
        <f t="shared" si="3"/>
        <v>3.68892E-3</v>
      </c>
      <c r="O59">
        <v>7198480</v>
      </c>
      <c r="P59">
        <v>51593216</v>
      </c>
      <c r="Q59" s="1" t="s">
        <v>406</v>
      </c>
      <c r="S59">
        <f t="shared" si="5"/>
        <v>21</v>
      </c>
      <c r="T59">
        <f t="shared" si="6"/>
        <v>0</v>
      </c>
    </row>
    <row r="60" spans="1:20" x14ac:dyDescent="0.3">
      <c r="A60" t="s">
        <v>67</v>
      </c>
      <c r="B60">
        <v>11</v>
      </c>
      <c r="C60" t="s">
        <v>106</v>
      </c>
      <c r="D60">
        <v>95</v>
      </c>
      <c r="E60">
        <f t="shared" si="2"/>
        <v>54</v>
      </c>
      <c r="F60" t="s">
        <v>13</v>
      </c>
      <c r="J60">
        <v>152319</v>
      </c>
      <c r="M60">
        <f t="shared" si="3"/>
        <v>3.04638E-3</v>
      </c>
      <c r="O60">
        <v>8687409</v>
      </c>
      <c r="P60">
        <v>52465664</v>
      </c>
      <c r="Q60" s="1" t="s">
        <v>542</v>
      </c>
      <c r="S60">
        <f t="shared" si="5"/>
        <v>0</v>
      </c>
      <c r="T60">
        <f t="shared" si="6"/>
        <v>0</v>
      </c>
    </row>
    <row r="61" spans="1:20" x14ac:dyDescent="0.3">
      <c r="A61" t="s">
        <v>67</v>
      </c>
      <c r="B61">
        <v>11</v>
      </c>
      <c r="C61" t="s">
        <v>106</v>
      </c>
      <c r="D61">
        <v>109</v>
      </c>
      <c r="E61">
        <f t="shared" si="2"/>
        <v>14</v>
      </c>
      <c r="F61" t="s">
        <v>12</v>
      </c>
      <c r="J61">
        <v>87951</v>
      </c>
      <c r="M61">
        <f t="shared" si="3"/>
        <v>1.75902E-3</v>
      </c>
      <c r="O61">
        <v>8687410</v>
      </c>
      <c r="P61">
        <v>51945472</v>
      </c>
      <c r="Q61" s="1" t="s">
        <v>543</v>
      </c>
      <c r="S61">
        <f t="shared" si="5"/>
        <v>0</v>
      </c>
      <c r="T61">
        <f t="shared" si="6"/>
        <v>14</v>
      </c>
    </row>
    <row r="62" spans="1:20" x14ac:dyDescent="0.3">
      <c r="A62" t="s">
        <v>67</v>
      </c>
      <c r="B62">
        <v>11</v>
      </c>
      <c r="C62" t="s">
        <v>106</v>
      </c>
      <c r="D62">
        <v>125</v>
      </c>
      <c r="E62">
        <f t="shared" si="2"/>
        <v>16</v>
      </c>
      <c r="F62" t="s">
        <v>11</v>
      </c>
      <c r="J62">
        <v>64951</v>
      </c>
      <c r="M62">
        <f t="shared" si="3"/>
        <v>1.2990200000000001E-3</v>
      </c>
      <c r="O62">
        <v>7198486</v>
      </c>
      <c r="P62">
        <v>52649984</v>
      </c>
      <c r="Q62" s="1" t="s">
        <v>407</v>
      </c>
      <c r="S62">
        <f t="shared" si="5"/>
        <v>0</v>
      </c>
      <c r="T62">
        <f t="shared" si="6"/>
        <v>0</v>
      </c>
    </row>
    <row r="63" spans="1:20" x14ac:dyDescent="0.3">
      <c r="A63" t="s">
        <v>67</v>
      </c>
      <c r="B63">
        <v>12</v>
      </c>
      <c r="C63" t="s">
        <v>105</v>
      </c>
      <c r="D63">
        <v>24</v>
      </c>
      <c r="E63">
        <f t="shared" si="2"/>
        <v>24</v>
      </c>
      <c r="F63" t="s">
        <v>15</v>
      </c>
      <c r="J63">
        <v>44114</v>
      </c>
      <c r="M63">
        <f t="shared" si="3"/>
        <v>8.8228000000000004E-4</v>
      </c>
      <c r="O63">
        <v>7198489</v>
      </c>
      <c r="P63">
        <v>53432320</v>
      </c>
      <c r="Q63" s="1" t="s">
        <v>408</v>
      </c>
      <c r="S63">
        <f t="shared" si="5"/>
        <v>0</v>
      </c>
      <c r="T63">
        <f t="shared" si="6"/>
        <v>0</v>
      </c>
    </row>
    <row r="64" spans="1:20" x14ac:dyDescent="0.3">
      <c r="A64" t="s">
        <v>67</v>
      </c>
      <c r="B64">
        <v>12</v>
      </c>
      <c r="C64" t="s">
        <v>105</v>
      </c>
      <c r="D64">
        <v>36</v>
      </c>
      <c r="E64">
        <f t="shared" si="2"/>
        <v>12</v>
      </c>
      <c r="F64" t="s">
        <v>14</v>
      </c>
      <c r="J64">
        <v>184446</v>
      </c>
      <c r="M64">
        <f t="shared" si="3"/>
        <v>3.68892E-3</v>
      </c>
      <c r="O64">
        <v>7198490</v>
      </c>
      <c r="P64">
        <v>53534720</v>
      </c>
      <c r="Q64" s="1" t="s">
        <v>409</v>
      </c>
      <c r="S64">
        <f t="shared" si="5"/>
        <v>12</v>
      </c>
      <c r="T64">
        <f t="shared" si="6"/>
        <v>0</v>
      </c>
    </row>
    <row r="65" spans="1:20" x14ac:dyDescent="0.3">
      <c r="A65" t="s">
        <v>67</v>
      </c>
      <c r="B65">
        <v>12</v>
      </c>
      <c r="C65" t="s">
        <v>105</v>
      </c>
      <c r="D65">
        <v>76</v>
      </c>
      <c r="E65">
        <f t="shared" si="2"/>
        <v>40</v>
      </c>
      <c r="F65" t="s">
        <v>13</v>
      </c>
      <c r="J65">
        <v>152319</v>
      </c>
      <c r="M65">
        <f t="shared" si="3"/>
        <v>3.04638E-3</v>
      </c>
      <c r="O65">
        <v>8687422</v>
      </c>
      <c r="P65">
        <v>53993472</v>
      </c>
      <c r="Q65" s="1" t="s">
        <v>545</v>
      </c>
      <c r="S65">
        <f t="shared" si="5"/>
        <v>0</v>
      </c>
      <c r="T65">
        <f t="shared" si="6"/>
        <v>0</v>
      </c>
    </row>
    <row r="66" spans="1:20" x14ac:dyDescent="0.3">
      <c r="A66" t="s">
        <v>67</v>
      </c>
      <c r="B66">
        <v>12</v>
      </c>
      <c r="C66" t="s">
        <v>105</v>
      </c>
      <c r="D66">
        <v>126</v>
      </c>
      <c r="E66">
        <f t="shared" si="2"/>
        <v>50</v>
      </c>
      <c r="F66" t="s">
        <v>12</v>
      </c>
      <c r="J66">
        <v>87951</v>
      </c>
      <c r="M66">
        <f t="shared" si="3"/>
        <v>1.75902E-3</v>
      </c>
      <c r="O66">
        <v>8687427</v>
      </c>
      <c r="P66">
        <v>54501376</v>
      </c>
      <c r="Q66" s="1" t="s">
        <v>544</v>
      </c>
      <c r="S66">
        <f t="shared" si="5"/>
        <v>0</v>
      </c>
      <c r="T66">
        <f t="shared" si="6"/>
        <v>50</v>
      </c>
    </row>
    <row r="67" spans="1:20" x14ac:dyDescent="0.3">
      <c r="A67" t="s">
        <v>67</v>
      </c>
      <c r="B67">
        <v>12</v>
      </c>
      <c r="C67" t="s">
        <v>105</v>
      </c>
      <c r="D67">
        <v>143</v>
      </c>
      <c r="E67">
        <f t="shared" si="2"/>
        <v>17</v>
      </c>
      <c r="F67" t="s">
        <v>11</v>
      </c>
      <c r="J67">
        <v>64951</v>
      </c>
      <c r="M67">
        <f t="shared" si="3"/>
        <v>1.2990200000000001E-3</v>
      </c>
      <c r="O67">
        <v>7198497</v>
      </c>
      <c r="P67">
        <v>54083584</v>
      </c>
      <c r="Q67" s="1" t="s">
        <v>410</v>
      </c>
      <c r="S67">
        <f t="shared" ref="S67:S98" si="7">IF(F67="exitTransaction",E67,0)</f>
        <v>0</v>
      </c>
      <c r="T67">
        <f t="shared" ref="T67:T98" si="8">IF(F67="entryTransaction",E67,0)</f>
        <v>0</v>
      </c>
    </row>
    <row r="68" spans="1:20" x14ac:dyDescent="0.3">
      <c r="A68" t="s">
        <v>67</v>
      </c>
      <c r="B68">
        <v>13</v>
      </c>
      <c r="C68" t="s">
        <v>104</v>
      </c>
      <c r="D68">
        <v>24</v>
      </c>
      <c r="E68">
        <f t="shared" ref="E68:E131" si="9">IF(B68&lt;&gt;B67,D68,D68-D67)</f>
        <v>24</v>
      </c>
      <c r="F68" t="s">
        <v>15</v>
      </c>
      <c r="J68">
        <v>44114</v>
      </c>
      <c r="M68">
        <f t="shared" ref="M68:M131" si="10">0.00000002*J68</f>
        <v>8.8228000000000004E-4</v>
      </c>
      <c r="O68">
        <v>7198500</v>
      </c>
      <c r="P68">
        <v>55209984</v>
      </c>
      <c r="Q68" s="1" t="s">
        <v>411</v>
      </c>
      <c r="S68">
        <f t="shared" si="7"/>
        <v>0</v>
      </c>
      <c r="T68">
        <f t="shared" si="8"/>
        <v>0</v>
      </c>
    </row>
    <row r="69" spans="1:20" x14ac:dyDescent="0.3">
      <c r="A69" t="s">
        <v>67</v>
      </c>
      <c r="B69">
        <v>13</v>
      </c>
      <c r="C69" t="s">
        <v>104</v>
      </c>
      <c r="D69">
        <v>36</v>
      </c>
      <c r="E69">
        <f t="shared" si="9"/>
        <v>12</v>
      </c>
      <c r="F69" t="s">
        <v>14</v>
      </c>
      <c r="J69">
        <v>184446</v>
      </c>
      <c r="M69">
        <f t="shared" si="10"/>
        <v>3.68892E-3</v>
      </c>
      <c r="O69">
        <v>7198501</v>
      </c>
      <c r="P69">
        <v>55070720</v>
      </c>
      <c r="Q69" s="1" t="s">
        <v>412</v>
      </c>
      <c r="S69">
        <f t="shared" si="7"/>
        <v>12</v>
      </c>
      <c r="T69">
        <f t="shared" si="8"/>
        <v>0</v>
      </c>
    </row>
    <row r="70" spans="1:20" x14ac:dyDescent="0.3">
      <c r="A70" t="s">
        <v>67</v>
      </c>
      <c r="B70">
        <v>13</v>
      </c>
      <c r="C70" t="s">
        <v>104</v>
      </c>
      <c r="D70">
        <v>57</v>
      </c>
      <c r="E70">
        <f t="shared" si="9"/>
        <v>21</v>
      </c>
      <c r="F70" t="s">
        <v>13</v>
      </c>
      <c r="J70">
        <v>152319</v>
      </c>
      <c r="M70">
        <f t="shared" si="10"/>
        <v>3.04638E-3</v>
      </c>
      <c r="O70">
        <v>8687436</v>
      </c>
      <c r="P70">
        <v>56180736</v>
      </c>
      <c r="Q70" s="1" t="s">
        <v>546</v>
      </c>
      <c r="S70">
        <f t="shared" si="7"/>
        <v>0</v>
      </c>
      <c r="T70">
        <f t="shared" si="8"/>
        <v>0</v>
      </c>
    </row>
    <row r="71" spans="1:20" x14ac:dyDescent="0.3">
      <c r="A71" t="s">
        <v>67</v>
      </c>
      <c r="B71">
        <v>13</v>
      </c>
      <c r="C71" t="s">
        <v>104</v>
      </c>
      <c r="D71">
        <v>91</v>
      </c>
      <c r="E71">
        <f t="shared" si="9"/>
        <v>34</v>
      </c>
      <c r="F71" t="s">
        <v>12</v>
      </c>
      <c r="J71">
        <v>87951</v>
      </c>
      <c r="M71">
        <f t="shared" si="10"/>
        <v>1.75902E-3</v>
      </c>
      <c r="O71">
        <v>8687439</v>
      </c>
      <c r="P71">
        <v>56545280</v>
      </c>
      <c r="Q71" s="1" t="s">
        <v>547</v>
      </c>
      <c r="S71">
        <f t="shared" si="7"/>
        <v>0</v>
      </c>
      <c r="T71">
        <f t="shared" si="8"/>
        <v>34</v>
      </c>
    </row>
    <row r="72" spans="1:20" x14ac:dyDescent="0.3">
      <c r="A72" t="s">
        <v>67</v>
      </c>
      <c r="B72">
        <v>13</v>
      </c>
      <c r="C72" t="s">
        <v>104</v>
      </c>
      <c r="D72">
        <v>113</v>
      </c>
      <c r="E72">
        <f t="shared" si="9"/>
        <v>22</v>
      </c>
      <c r="F72" t="s">
        <v>11</v>
      </c>
      <c r="J72">
        <v>64951</v>
      </c>
      <c r="M72">
        <f t="shared" si="10"/>
        <v>1.2990200000000001E-3</v>
      </c>
      <c r="O72">
        <v>7198506</v>
      </c>
      <c r="P72">
        <v>56492032</v>
      </c>
      <c r="Q72" s="1" t="s">
        <v>413</v>
      </c>
      <c r="S72">
        <f t="shared" si="7"/>
        <v>0</v>
      </c>
      <c r="T72">
        <f t="shared" si="8"/>
        <v>0</v>
      </c>
    </row>
    <row r="73" spans="1:20" x14ac:dyDescent="0.3">
      <c r="A73" t="s">
        <v>67</v>
      </c>
      <c r="B73">
        <v>14</v>
      </c>
      <c r="C73" t="s">
        <v>103</v>
      </c>
      <c r="D73">
        <v>24</v>
      </c>
      <c r="E73">
        <f t="shared" si="9"/>
        <v>24</v>
      </c>
      <c r="F73" t="s">
        <v>15</v>
      </c>
      <c r="J73">
        <v>44114</v>
      </c>
      <c r="M73">
        <f t="shared" si="10"/>
        <v>8.8228000000000004E-4</v>
      </c>
      <c r="O73">
        <v>7198509</v>
      </c>
      <c r="P73">
        <v>56967168</v>
      </c>
      <c r="Q73" s="1" t="s">
        <v>414</v>
      </c>
      <c r="S73">
        <f t="shared" si="7"/>
        <v>0</v>
      </c>
      <c r="T73">
        <f t="shared" si="8"/>
        <v>0</v>
      </c>
    </row>
    <row r="74" spans="1:20" x14ac:dyDescent="0.3">
      <c r="A74" t="s">
        <v>67</v>
      </c>
      <c r="B74">
        <v>14</v>
      </c>
      <c r="C74" t="s">
        <v>103</v>
      </c>
      <c r="D74">
        <v>36</v>
      </c>
      <c r="E74">
        <f t="shared" si="9"/>
        <v>12</v>
      </c>
      <c r="F74" t="s">
        <v>14</v>
      </c>
      <c r="J74">
        <v>184434</v>
      </c>
      <c r="M74">
        <f t="shared" si="10"/>
        <v>3.6886800000000002E-3</v>
      </c>
      <c r="O74">
        <v>7198510</v>
      </c>
      <c r="P74">
        <v>57696256</v>
      </c>
      <c r="Q74" s="1" t="s">
        <v>415</v>
      </c>
      <c r="S74">
        <f t="shared" si="7"/>
        <v>12</v>
      </c>
      <c r="T74">
        <f t="shared" si="8"/>
        <v>0</v>
      </c>
    </row>
    <row r="75" spans="1:20" x14ac:dyDescent="0.3">
      <c r="A75" t="s">
        <v>67</v>
      </c>
      <c r="B75">
        <v>14</v>
      </c>
      <c r="C75" t="s">
        <v>103</v>
      </c>
      <c r="D75">
        <v>51</v>
      </c>
      <c r="E75">
        <f t="shared" si="9"/>
        <v>15</v>
      </c>
      <c r="F75" t="s">
        <v>13</v>
      </c>
      <c r="J75">
        <v>152295</v>
      </c>
      <c r="M75">
        <f t="shared" si="10"/>
        <v>3.0459000000000003E-3</v>
      </c>
      <c r="O75">
        <v>8687449</v>
      </c>
      <c r="P75">
        <v>58208256</v>
      </c>
      <c r="Q75" s="1" t="s">
        <v>548</v>
      </c>
      <c r="S75">
        <f t="shared" si="7"/>
        <v>0</v>
      </c>
      <c r="T75">
        <f t="shared" si="8"/>
        <v>0</v>
      </c>
    </row>
    <row r="76" spans="1:20" x14ac:dyDescent="0.3">
      <c r="A76" t="s">
        <v>67</v>
      </c>
      <c r="B76">
        <v>14</v>
      </c>
      <c r="C76" t="s">
        <v>103</v>
      </c>
      <c r="D76">
        <v>87</v>
      </c>
      <c r="E76">
        <f t="shared" si="9"/>
        <v>36</v>
      </c>
      <c r="F76" t="s">
        <v>12</v>
      </c>
      <c r="J76">
        <v>87939</v>
      </c>
      <c r="M76">
        <f t="shared" si="10"/>
        <v>1.7587799999999999E-3</v>
      </c>
      <c r="O76">
        <v>8687452</v>
      </c>
      <c r="P76">
        <v>58392576</v>
      </c>
      <c r="Q76" s="1" t="s">
        <v>549</v>
      </c>
      <c r="S76">
        <f t="shared" si="7"/>
        <v>0</v>
      </c>
      <c r="T76">
        <f t="shared" si="8"/>
        <v>36</v>
      </c>
    </row>
    <row r="77" spans="1:20" x14ac:dyDescent="0.3">
      <c r="A77" t="s">
        <v>67</v>
      </c>
      <c r="B77">
        <v>14</v>
      </c>
      <c r="C77" t="s">
        <v>103</v>
      </c>
      <c r="D77">
        <v>109</v>
      </c>
      <c r="E77">
        <f t="shared" si="9"/>
        <v>22</v>
      </c>
      <c r="F77" t="s">
        <v>11</v>
      </c>
      <c r="J77">
        <v>64939</v>
      </c>
      <c r="M77">
        <f t="shared" si="10"/>
        <v>1.29878E-3</v>
      </c>
      <c r="O77">
        <v>7198515</v>
      </c>
      <c r="P77">
        <v>56631296</v>
      </c>
      <c r="Q77" s="1" t="s">
        <v>416</v>
      </c>
      <c r="S77">
        <f t="shared" si="7"/>
        <v>0</v>
      </c>
      <c r="T77">
        <f t="shared" si="8"/>
        <v>0</v>
      </c>
    </row>
    <row r="78" spans="1:20" x14ac:dyDescent="0.3">
      <c r="A78" t="s">
        <v>67</v>
      </c>
      <c r="B78">
        <v>15</v>
      </c>
      <c r="C78" t="s">
        <v>102</v>
      </c>
      <c r="D78">
        <v>12</v>
      </c>
      <c r="E78">
        <f t="shared" si="9"/>
        <v>12</v>
      </c>
      <c r="F78" t="s">
        <v>15</v>
      </c>
      <c r="J78">
        <v>44114</v>
      </c>
      <c r="M78">
        <f t="shared" si="10"/>
        <v>8.8228000000000004E-4</v>
      </c>
      <c r="O78">
        <v>7198517</v>
      </c>
      <c r="P78">
        <v>55984128</v>
      </c>
      <c r="Q78" s="1" t="s">
        <v>417</v>
      </c>
      <c r="S78">
        <f t="shared" si="7"/>
        <v>0</v>
      </c>
      <c r="T78">
        <f t="shared" si="8"/>
        <v>0</v>
      </c>
    </row>
    <row r="79" spans="1:20" x14ac:dyDescent="0.3">
      <c r="A79" t="s">
        <v>67</v>
      </c>
      <c r="B79">
        <v>15</v>
      </c>
      <c r="C79" t="s">
        <v>102</v>
      </c>
      <c r="D79">
        <v>24</v>
      </c>
      <c r="E79">
        <f t="shared" si="9"/>
        <v>12</v>
      </c>
      <c r="F79" t="s">
        <v>14</v>
      </c>
      <c r="J79">
        <v>184434</v>
      </c>
      <c r="M79">
        <f t="shared" si="10"/>
        <v>3.6886800000000002E-3</v>
      </c>
      <c r="O79">
        <v>7198518</v>
      </c>
      <c r="P79">
        <v>55939072</v>
      </c>
      <c r="Q79" s="1" t="s">
        <v>418</v>
      </c>
      <c r="S79">
        <f t="shared" si="7"/>
        <v>12</v>
      </c>
      <c r="T79">
        <f t="shared" si="8"/>
        <v>0</v>
      </c>
    </row>
    <row r="80" spans="1:20" x14ac:dyDescent="0.3">
      <c r="A80" t="s">
        <v>67</v>
      </c>
      <c r="B80">
        <v>15</v>
      </c>
      <c r="C80" t="s">
        <v>102</v>
      </c>
      <c r="D80">
        <v>37</v>
      </c>
      <c r="E80">
        <f t="shared" si="9"/>
        <v>13</v>
      </c>
      <c r="F80" t="s">
        <v>13</v>
      </c>
      <c r="J80">
        <v>152307</v>
      </c>
      <c r="M80">
        <f t="shared" si="10"/>
        <v>3.0461400000000001E-3</v>
      </c>
      <c r="O80">
        <v>8687461</v>
      </c>
      <c r="P80">
        <v>56803328</v>
      </c>
      <c r="Q80" s="1" t="s">
        <v>419</v>
      </c>
      <c r="S80">
        <f t="shared" si="7"/>
        <v>0</v>
      </c>
      <c r="T80">
        <f t="shared" si="8"/>
        <v>0</v>
      </c>
    </row>
    <row r="81" spans="1:20" x14ac:dyDescent="0.3">
      <c r="A81" t="s">
        <v>67</v>
      </c>
      <c r="B81">
        <v>15</v>
      </c>
      <c r="C81" t="s">
        <v>102</v>
      </c>
      <c r="D81">
        <v>59</v>
      </c>
      <c r="E81">
        <f t="shared" si="9"/>
        <v>22</v>
      </c>
      <c r="F81" t="s">
        <v>12</v>
      </c>
      <c r="J81">
        <v>87951</v>
      </c>
      <c r="M81">
        <f t="shared" si="10"/>
        <v>1.75902E-3</v>
      </c>
      <c r="O81">
        <v>8687463</v>
      </c>
      <c r="P81">
        <v>56336384</v>
      </c>
      <c r="Q81" s="1" t="s">
        <v>550</v>
      </c>
      <c r="S81">
        <f t="shared" si="7"/>
        <v>0</v>
      </c>
      <c r="T81">
        <f t="shared" si="8"/>
        <v>22</v>
      </c>
    </row>
    <row r="82" spans="1:20" x14ac:dyDescent="0.3">
      <c r="A82" t="s">
        <v>67</v>
      </c>
      <c r="B82">
        <v>15</v>
      </c>
      <c r="C82" t="s">
        <v>102</v>
      </c>
      <c r="D82">
        <v>87</v>
      </c>
      <c r="E82">
        <f t="shared" si="9"/>
        <v>28</v>
      </c>
      <c r="F82" t="s">
        <v>11</v>
      </c>
      <c r="J82">
        <v>64951</v>
      </c>
      <c r="M82">
        <f t="shared" si="10"/>
        <v>1.2990200000000001E-3</v>
      </c>
      <c r="O82">
        <v>7198522</v>
      </c>
      <c r="P82">
        <v>55967744</v>
      </c>
      <c r="Q82" s="1" t="s">
        <v>551</v>
      </c>
      <c r="S82">
        <f t="shared" si="7"/>
        <v>0</v>
      </c>
      <c r="T82">
        <f t="shared" si="8"/>
        <v>0</v>
      </c>
    </row>
    <row r="83" spans="1:20" x14ac:dyDescent="0.3">
      <c r="A83" t="s">
        <v>67</v>
      </c>
      <c r="B83">
        <v>16</v>
      </c>
      <c r="C83" t="s">
        <v>101</v>
      </c>
      <c r="D83">
        <v>22</v>
      </c>
      <c r="E83">
        <f t="shared" si="9"/>
        <v>22</v>
      </c>
      <c r="F83" t="s">
        <v>15</v>
      </c>
      <c r="J83">
        <v>44114</v>
      </c>
      <c r="M83">
        <f t="shared" si="10"/>
        <v>8.8228000000000004E-4</v>
      </c>
      <c r="O83">
        <v>7198525</v>
      </c>
      <c r="P83">
        <v>56217600</v>
      </c>
      <c r="Q83" s="1" t="s">
        <v>420</v>
      </c>
      <c r="S83">
        <f t="shared" si="7"/>
        <v>0</v>
      </c>
      <c r="T83">
        <f t="shared" si="8"/>
        <v>0</v>
      </c>
    </row>
    <row r="84" spans="1:20" x14ac:dyDescent="0.3">
      <c r="A84" t="s">
        <v>67</v>
      </c>
      <c r="B84">
        <v>16</v>
      </c>
      <c r="C84" t="s">
        <v>101</v>
      </c>
      <c r="D84">
        <v>38</v>
      </c>
      <c r="E84">
        <f t="shared" si="9"/>
        <v>16</v>
      </c>
      <c r="F84" t="s">
        <v>14</v>
      </c>
      <c r="J84">
        <v>184434</v>
      </c>
      <c r="M84">
        <f t="shared" si="10"/>
        <v>3.6886800000000002E-3</v>
      </c>
      <c r="O84">
        <v>7198526</v>
      </c>
      <c r="P84">
        <v>56692736</v>
      </c>
      <c r="Q84" s="1" t="s">
        <v>421</v>
      </c>
      <c r="S84">
        <f t="shared" si="7"/>
        <v>16</v>
      </c>
      <c r="T84">
        <f t="shared" si="8"/>
        <v>0</v>
      </c>
    </row>
    <row r="85" spans="1:20" x14ac:dyDescent="0.3">
      <c r="A85" t="s">
        <v>67</v>
      </c>
      <c r="B85">
        <v>16</v>
      </c>
      <c r="C85" t="s">
        <v>101</v>
      </c>
      <c r="D85">
        <v>62</v>
      </c>
      <c r="E85">
        <f t="shared" si="9"/>
        <v>24</v>
      </c>
      <c r="F85" t="s">
        <v>13</v>
      </c>
      <c r="J85">
        <v>152307</v>
      </c>
      <c r="M85">
        <f t="shared" si="10"/>
        <v>3.0461400000000001E-3</v>
      </c>
      <c r="O85">
        <v>8687473</v>
      </c>
      <c r="P85">
        <v>56868864</v>
      </c>
      <c r="Q85" s="1" t="s">
        <v>422</v>
      </c>
      <c r="S85">
        <f t="shared" si="7"/>
        <v>0</v>
      </c>
      <c r="T85">
        <f t="shared" si="8"/>
        <v>0</v>
      </c>
    </row>
    <row r="86" spans="1:20" x14ac:dyDescent="0.3">
      <c r="A86" t="s">
        <v>67</v>
      </c>
      <c r="B86">
        <v>16</v>
      </c>
      <c r="C86" t="s">
        <v>101</v>
      </c>
      <c r="D86">
        <v>109</v>
      </c>
      <c r="E86">
        <f t="shared" si="9"/>
        <v>47</v>
      </c>
      <c r="F86" t="s">
        <v>12</v>
      </c>
      <c r="J86">
        <v>87951</v>
      </c>
      <c r="M86">
        <f t="shared" si="10"/>
        <v>1.75902E-3</v>
      </c>
      <c r="O86">
        <v>8687479</v>
      </c>
      <c r="P86">
        <v>56434688</v>
      </c>
      <c r="Q86" s="1" t="s">
        <v>552</v>
      </c>
      <c r="S86">
        <f t="shared" si="7"/>
        <v>0</v>
      </c>
      <c r="T86">
        <f t="shared" si="8"/>
        <v>47</v>
      </c>
    </row>
    <row r="87" spans="1:20" x14ac:dyDescent="0.3">
      <c r="A87" t="s">
        <v>67</v>
      </c>
      <c r="B87">
        <v>16</v>
      </c>
      <c r="C87" t="s">
        <v>101</v>
      </c>
      <c r="D87">
        <v>125</v>
      </c>
      <c r="E87">
        <f t="shared" si="9"/>
        <v>16</v>
      </c>
      <c r="F87" t="s">
        <v>11</v>
      </c>
      <c r="J87">
        <v>64951</v>
      </c>
      <c r="M87">
        <f t="shared" si="10"/>
        <v>1.2990200000000001E-3</v>
      </c>
      <c r="O87">
        <v>7198532</v>
      </c>
      <c r="P87">
        <v>56877056</v>
      </c>
      <c r="Q87" s="1" t="s">
        <v>553</v>
      </c>
      <c r="S87">
        <f t="shared" si="7"/>
        <v>0</v>
      </c>
      <c r="T87">
        <f t="shared" si="8"/>
        <v>0</v>
      </c>
    </row>
    <row r="88" spans="1:20" x14ac:dyDescent="0.3">
      <c r="A88" t="s">
        <v>67</v>
      </c>
      <c r="B88">
        <v>17</v>
      </c>
      <c r="C88" t="s">
        <v>100</v>
      </c>
      <c r="D88">
        <v>26</v>
      </c>
      <c r="E88">
        <f t="shared" si="9"/>
        <v>26</v>
      </c>
      <c r="F88" t="s">
        <v>15</v>
      </c>
      <c r="J88">
        <v>44114</v>
      </c>
      <c r="M88">
        <f t="shared" si="10"/>
        <v>8.8228000000000004E-4</v>
      </c>
      <c r="O88">
        <v>7198535</v>
      </c>
      <c r="P88">
        <v>57393152</v>
      </c>
      <c r="Q88" s="1" t="s">
        <v>423</v>
      </c>
      <c r="S88">
        <f t="shared" si="7"/>
        <v>0</v>
      </c>
      <c r="T88">
        <f t="shared" si="8"/>
        <v>0</v>
      </c>
    </row>
    <row r="89" spans="1:20" x14ac:dyDescent="0.3">
      <c r="A89" t="s">
        <v>67</v>
      </c>
      <c r="B89">
        <v>17</v>
      </c>
      <c r="C89" t="s">
        <v>100</v>
      </c>
      <c r="D89">
        <v>42</v>
      </c>
      <c r="E89">
        <f t="shared" si="9"/>
        <v>16</v>
      </c>
      <c r="F89" t="s">
        <v>14</v>
      </c>
      <c r="J89">
        <v>184446</v>
      </c>
      <c r="M89">
        <f t="shared" si="10"/>
        <v>3.68892E-3</v>
      </c>
      <c r="O89">
        <v>7198536</v>
      </c>
      <c r="P89">
        <v>57303040</v>
      </c>
      <c r="Q89" s="1" t="s">
        <v>424</v>
      </c>
      <c r="S89">
        <f t="shared" si="7"/>
        <v>16</v>
      </c>
      <c r="T89">
        <f t="shared" si="8"/>
        <v>0</v>
      </c>
    </row>
    <row r="90" spans="1:20" x14ac:dyDescent="0.3">
      <c r="A90" t="s">
        <v>67</v>
      </c>
      <c r="B90">
        <v>17</v>
      </c>
      <c r="C90" t="s">
        <v>100</v>
      </c>
      <c r="D90">
        <v>75</v>
      </c>
      <c r="E90">
        <f t="shared" si="9"/>
        <v>33</v>
      </c>
      <c r="F90" t="s">
        <v>13</v>
      </c>
      <c r="J90">
        <v>152307</v>
      </c>
      <c r="M90">
        <f t="shared" si="10"/>
        <v>3.0461400000000001E-3</v>
      </c>
      <c r="O90">
        <v>8687487</v>
      </c>
      <c r="P90">
        <v>57389056</v>
      </c>
      <c r="Q90" s="1" t="s">
        <v>425</v>
      </c>
      <c r="S90">
        <f t="shared" si="7"/>
        <v>0</v>
      </c>
      <c r="T90">
        <f t="shared" si="8"/>
        <v>0</v>
      </c>
    </row>
    <row r="91" spans="1:20" x14ac:dyDescent="0.3">
      <c r="A91" t="s">
        <v>67</v>
      </c>
      <c r="B91">
        <v>17</v>
      </c>
      <c r="C91" t="s">
        <v>100</v>
      </c>
      <c r="D91">
        <v>111</v>
      </c>
      <c r="E91">
        <f t="shared" si="9"/>
        <v>36</v>
      </c>
      <c r="F91" t="s">
        <v>12</v>
      </c>
      <c r="J91">
        <v>87939</v>
      </c>
      <c r="M91">
        <f t="shared" si="10"/>
        <v>1.7587799999999999E-3</v>
      </c>
      <c r="O91">
        <v>8687490</v>
      </c>
      <c r="P91">
        <v>57384960</v>
      </c>
      <c r="Q91" s="1" t="s">
        <v>554</v>
      </c>
      <c r="S91">
        <f t="shared" si="7"/>
        <v>0</v>
      </c>
      <c r="T91">
        <f t="shared" si="8"/>
        <v>36</v>
      </c>
    </row>
    <row r="92" spans="1:20" x14ac:dyDescent="0.3">
      <c r="A92" t="s">
        <v>67</v>
      </c>
      <c r="B92">
        <v>17</v>
      </c>
      <c r="C92" t="s">
        <v>100</v>
      </c>
      <c r="D92">
        <v>131</v>
      </c>
      <c r="E92">
        <f t="shared" si="9"/>
        <v>20</v>
      </c>
      <c r="F92" t="s">
        <v>11</v>
      </c>
      <c r="J92">
        <v>64939</v>
      </c>
      <c r="M92">
        <f t="shared" si="10"/>
        <v>1.29878E-3</v>
      </c>
      <c r="O92">
        <v>7198542</v>
      </c>
      <c r="P92">
        <v>56942592</v>
      </c>
      <c r="Q92" s="1" t="s">
        <v>555</v>
      </c>
      <c r="S92">
        <f t="shared" si="7"/>
        <v>0</v>
      </c>
      <c r="T92">
        <f t="shared" si="8"/>
        <v>0</v>
      </c>
    </row>
    <row r="93" spans="1:20" x14ac:dyDescent="0.3">
      <c r="A93" t="s">
        <v>67</v>
      </c>
      <c r="B93">
        <v>18</v>
      </c>
      <c r="C93" t="s">
        <v>99</v>
      </c>
      <c r="D93">
        <v>22</v>
      </c>
      <c r="E93">
        <f t="shared" si="9"/>
        <v>22</v>
      </c>
      <c r="F93" t="s">
        <v>15</v>
      </c>
      <c r="J93">
        <v>44114</v>
      </c>
      <c r="M93">
        <f t="shared" si="10"/>
        <v>8.8228000000000004E-4</v>
      </c>
      <c r="O93">
        <v>7198545</v>
      </c>
      <c r="P93">
        <v>57450496</v>
      </c>
      <c r="Q93" s="1" t="s">
        <v>426</v>
      </c>
      <c r="S93">
        <f t="shared" si="7"/>
        <v>0</v>
      </c>
      <c r="T93">
        <f t="shared" si="8"/>
        <v>0</v>
      </c>
    </row>
    <row r="94" spans="1:20" x14ac:dyDescent="0.3">
      <c r="A94" t="s">
        <v>67</v>
      </c>
      <c r="B94">
        <v>18</v>
      </c>
      <c r="C94" t="s">
        <v>99</v>
      </c>
      <c r="D94">
        <v>38</v>
      </c>
      <c r="E94">
        <f t="shared" si="9"/>
        <v>16</v>
      </c>
      <c r="F94" t="s">
        <v>14</v>
      </c>
      <c r="J94">
        <v>184434</v>
      </c>
      <c r="M94">
        <f t="shared" si="10"/>
        <v>3.6886800000000002E-3</v>
      </c>
      <c r="O94">
        <v>7198546</v>
      </c>
      <c r="P94">
        <v>57077760</v>
      </c>
      <c r="Q94" s="1" t="s">
        <v>427</v>
      </c>
      <c r="S94">
        <f t="shared" si="7"/>
        <v>16</v>
      </c>
      <c r="T94">
        <f t="shared" si="8"/>
        <v>0</v>
      </c>
    </row>
    <row r="95" spans="1:20" x14ac:dyDescent="0.3">
      <c r="A95" t="s">
        <v>67</v>
      </c>
      <c r="B95">
        <v>18</v>
      </c>
      <c r="C95" t="s">
        <v>99</v>
      </c>
      <c r="D95">
        <v>70</v>
      </c>
      <c r="E95">
        <f t="shared" si="9"/>
        <v>32</v>
      </c>
      <c r="F95" t="s">
        <v>13</v>
      </c>
      <c r="J95">
        <v>152307</v>
      </c>
      <c r="M95">
        <f t="shared" si="10"/>
        <v>3.0461400000000001E-3</v>
      </c>
      <c r="O95">
        <v>8687499</v>
      </c>
      <c r="P95">
        <v>57872384</v>
      </c>
      <c r="Q95" s="1" t="s">
        <v>428</v>
      </c>
      <c r="S95">
        <f t="shared" si="7"/>
        <v>0</v>
      </c>
      <c r="T95">
        <f t="shared" si="8"/>
        <v>0</v>
      </c>
    </row>
    <row r="96" spans="1:20" x14ac:dyDescent="0.3">
      <c r="A96" t="s">
        <v>67</v>
      </c>
      <c r="B96">
        <v>18</v>
      </c>
      <c r="C96" t="s">
        <v>99</v>
      </c>
      <c r="D96">
        <v>114</v>
      </c>
      <c r="E96">
        <f t="shared" si="9"/>
        <v>44</v>
      </c>
      <c r="F96" t="s">
        <v>12</v>
      </c>
      <c r="J96">
        <v>87951</v>
      </c>
      <c r="M96">
        <f t="shared" si="10"/>
        <v>1.75902E-3</v>
      </c>
      <c r="O96">
        <v>8687503</v>
      </c>
      <c r="P96">
        <v>58032128</v>
      </c>
      <c r="Q96" s="1" t="s">
        <v>556</v>
      </c>
      <c r="S96">
        <f t="shared" si="7"/>
        <v>0</v>
      </c>
      <c r="T96">
        <f t="shared" si="8"/>
        <v>44</v>
      </c>
    </row>
    <row r="97" spans="1:20" x14ac:dyDescent="0.3">
      <c r="A97" t="s">
        <v>67</v>
      </c>
      <c r="B97">
        <v>18</v>
      </c>
      <c r="C97" t="s">
        <v>99</v>
      </c>
      <c r="D97">
        <v>126</v>
      </c>
      <c r="E97">
        <f t="shared" si="9"/>
        <v>12</v>
      </c>
      <c r="F97" t="s">
        <v>11</v>
      </c>
      <c r="J97">
        <v>64951</v>
      </c>
      <c r="M97">
        <f t="shared" si="10"/>
        <v>1.2990200000000001E-3</v>
      </c>
      <c r="O97">
        <v>7198552</v>
      </c>
      <c r="P97">
        <v>58707968</v>
      </c>
      <c r="Q97" s="1" t="s">
        <v>557</v>
      </c>
      <c r="S97">
        <f t="shared" si="7"/>
        <v>0</v>
      </c>
      <c r="T97">
        <f t="shared" si="8"/>
        <v>0</v>
      </c>
    </row>
    <row r="98" spans="1:20" x14ac:dyDescent="0.3">
      <c r="A98" t="s">
        <v>67</v>
      </c>
      <c r="B98">
        <v>19</v>
      </c>
      <c r="C98" t="s">
        <v>98</v>
      </c>
      <c r="D98">
        <v>20</v>
      </c>
      <c r="E98">
        <f t="shared" si="9"/>
        <v>20</v>
      </c>
      <c r="F98" t="s">
        <v>15</v>
      </c>
      <c r="J98">
        <v>44114</v>
      </c>
      <c r="M98">
        <f t="shared" si="10"/>
        <v>8.8228000000000004E-4</v>
      </c>
      <c r="O98">
        <v>7198555</v>
      </c>
      <c r="P98">
        <v>57131008</v>
      </c>
      <c r="Q98" s="1" t="s">
        <v>429</v>
      </c>
      <c r="S98">
        <f t="shared" si="7"/>
        <v>0</v>
      </c>
      <c r="T98">
        <f t="shared" si="8"/>
        <v>0</v>
      </c>
    </row>
    <row r="99" spans="1:20" x14ac:dyDescent="0.3">
      <c r="A99" t="s">
        <v>67</v>
      </c>
      <c r="B99">
        <v>19</v>
      </c>
      <c r="C99" t="s">
        <v>98</v>
      </c>
      <c r="D99">
        <v>36</v>
      </c>
      <c r="E99">
        <f t="shared" si="9"/>
        <v>16</v>
      </c>
      <c r="F99" t="s">
        <v>14</v>
      </c>
      <c r="J99">
        <v>184446</v>
      </c>
      <c r="M99">
        <f t="shared" si="10"/>
        <v>3.68892E-3</v>
      </c>
      <c r="O99">
        <v>7198556</v>
      </c>
      <c r="P99">
        <v>57290752</v>
      </c>
      <c r="Q99" s="1" t="s">
        <v>430</v>
      </c>
      <c r="S99">
        <f t="shared" ref="S99:S130" si="11">IF(F99="exitTransaction",E99,0)</f>
        <v>16</v>
      </c>
      <c r="T99">
        <f t="shared" ref="T99:T130" si="12">IF(F99="entryTransaction",E99,0)</f>
        <v>0</v>
      </c>
    </row>
    <row r="100" spans="1:20" x14ac:dyDescent="0.3">
      <c r="A100" t="s">
        <v>67</v>
      </c>
      <c r="B100">
        <v>19</v>
      </c>
      <c r="C100" t="s">
        <v>98</v>
      </c>
      <c r="D100">
        <v>52</v>
      </c>
      <c r="E100">
        <f t="shared" si="9"/>
        <v>16</v>
      </c>
      <c r="F100" t="s">
        <v>13</v>
      </c>
      <c r="J100">
        <v>152319</v>
      </c>
      <c r="M100">
        <f t="shared" si="10"/>
        <v>3.04638E-3</v>
      </c>
      <c r="O100">
        <v>8687508</v>
      </c>
      <c r="P100">
        <v>58220544</v>
      </c>
      <c r="Q100" s="1" t="s">
        <v>431</v>
      </c>
      <c r="S100">
        <f t="shared" si="11"/>
        <v>0</v>
      </c>
      <c r="T100">
        <f t="shared" si="12"/>
        <v>0</v>
      </c>
    </row>
    <row r="101" spans="1:20" x14ac:dyDescent="0.3">
      <c r="A101" t="s">
        <v>67</v>
      </c>
      <c r="B101">
        <v>19</v>
      </c>
      <c r="C101" t="s">
        <v>98</v>
      </c>
      <c r="D101">
        <v>82</v>
      </c>
      <c r="E101">
        <f t="shared" si="9"/>
        <v>30</v>
      </c>
      <c r="F101" t="s">
        <v>12</v>
      </c>
      <c r="J101">
        <v>87951</v>
      </c>
      <c r="M101">
        <f t="shared" si="10"/>
        <v>1.75902E-3</v>
      </c>
      <c r="O101">
        <v>8687511</v>
      </c>
      <c r="P101">
        <v>58245120</v>
      </c>
      <c r="Q101" s="1" t="s">
        <v>558</v>
      </c>
      <c r="S101">
        <f t="shared" si="11"/>
        <v>0</v>
      </c>
      <c r="T101">
        <f t="shared" si="12"/>
        <v>30</v>
      </c>
    </row>
    <row r="102" spans="1:20" x14ac:dyDescent="0.3">
      <c r="A102" t="s">
        <v>67</v>
      </c>
      <c r="B102">
        <v>19</v>
      </c>
      <c r="C102" t="s">
        <v>98</v>
      </c>
      <c r="D102">
        <v>98</v>
      </c>
      <c r="E102">
        <f t="shared" si="9"/>
        <v>16</v>
      </c>
      <c r="F102" t="s">
        <v>11</v>
      </c>
      <c r="J102">
        <v>64951</v>
      </c>
      <c r="M102">
        <f t="shared" si="10"/>
        <v>1.2990200000000001E-3</v>
      </c>
      <c r="O102">
        <v>7198560</v>
      </c>
      <c r="P102">
        <v>57389056</v>
      </c>
      <c r="Q102" s="1" t="s">
        <v>559</v>
      </c>
      <c r="S102">
        <f t="shared" si="11"/>
        <v>0</v>
      </c>
      <c r="T102">
        <f t="shared" si="12"/>
        <v>0</v>
      </c>
    </row>
    <row r="103" spans="1:20" x14ac:dyDescent="0.3">
      <c r="A103" t="s">
        <v>67</v>
      </c>
      <c r="B103">
        <v>20</v>
      </c>
      <c r="C103" t="s">
        <v>97</v>
      </c>
      <c r="D103">
        <v>21</v>
      </c>
      <c r="E103">
        <f t="shared" si="9"/>
        <v>21</v>
      </c>
      <c r="F103" t="s">
        <v>15</v>
      </c>
      <c r="J103">
        <v>44114</v>
      </c>
      <c r="M103">
        <f t="shared" si="10"/>
        <v>8.8228000000000004E-4</v>
      </c>
      <c r="O103">
        <v>7198563</v>
      </c>
      <c r="P103">
        <v>58015744</v>
      </c>
      <c r="Q103" s="1" t="s">
        <v>432</v>
      </c>
      <c r="S103">
        <f t="shared" si="11"/>
        <v>0</v>
      </c>
      <c r="T103">
        <f t="shared" si="12"/>
        <v>0</v>
      </c>
    </row>
    <row r="104" spans="1:20" x14ac:dyDescent="0.3">
      <c r="A104" t="s">
        <v>67</v>
      </c>
      <c r="B104">
        <v>20</v>
      </c>
      <c r="C104" t="s">
        <v>97</v>
      </c>
      <c r="D104">
        <v>34</v>
      </c>
      <c r="E104">
        <f t="shared" si="9"/>
        <v>13</v>
      </c>
      <c r="F104" t="s">
        <v>14</v>
      </c>
      <c r="J104">
        <v>184446</v>
      </c>
      <c r="M104">
        <f t="shared" si="10"/>
        <v>3.68892E-3</v>
      </c>
      <c r="O104">
        <v>7198564</v>
      </c>
      <c r="P104">
        <v>58421248</v>
      </c>
      <c r="Q104" s="1" t="s">
        <v>433</v>
      </c>
      <c r="S104">
        <f t="shared" si="11"/>
        <v>13</v>
      </c>
      <c r="T104">
        <f t="shared" si="12"/>
        <v>0</v>
      </c>
    </row>
    <row r="105" spans="1:20" x14ac:dyDescent="0.3">
      <c r="A105" t="s">
        <v>67</v>
      </c>
      <c r="B105">
        <v>20</v>
      </c>
      <c r="C105" t="s">
        <v>97</v>
      </c>
      <c r="D105">
        <v>56</v>
      </c>
      <c r="E105">
        <f t="shared" si="9"/>
        <v>22</v>
      </c>
      <c r="F105" t="s">
        <v>13</v>
      </c>
      <c r="J105">
        <v>152307</v>
      </c>
      <c r="M105">
        <f t="shared" si="10"/>
        <v>3.0461400000000001E-3</v>
      </c>
      <c r="O105">
        <v>8687520</v>
      </c>
      <c r="P105">
        <v>57651200</v>
      </c>
      <c r="Q105" s="1" t="s">
        <v>434</v>
      </c>
      <c r="S105">
        <f t="shared" si="11"/>
        <v>0</v>
      </c>
      <c r="T105">
        <f t="shared" si="12"/>
        <v>0</v>
      </c>
    </row>
    <row r="106" spans="1:20" x14ac:dyDescent="0.3">
      <c r="A106" t="s">
        <v>67</v>
      </c>
      <c r="B106">
        <v>20</v>
      </c>
      <c r="C106" t="s">
        <v>97</v>
      </c>
      <c r="D106">
        <v>102</v>
      </c>
      <c r="E106">
        <f t="shared" si="9"/>
        <v>46</v>
      </c>
      <c r="F106" t="s">
        <v>12</v>
      </c>
      <c r="J106">
        <v>87939</v>
      </c>
      <c r="M106">
        <f t="shared" si="10"/>
        <v>1.7587799999999999E-3</v>
      </c>
      <c r="O106">
        <v>8687523</v>
      </c>
      <c r="P106">
        <v>57872384</v>
      </c>
      <c r="Q106" s="1" t="s">
        <v>560</v>
      </c>
      <c r="S106">
        <f t="shared" si="11"/>
        <v>0</v>
      </c>
      <c r="T106">
        <f t="shared" si="12"/>
        <v>46</v>
      </c>
    </row>
    <row r="107" spans="1:20" x14ac:dyDescent="0.3">
      <c r="A107" t="s">
        <v>67</v>
      </c>
      <c r="B107">
        <v>20</v>
      </c>
      <c r="C107" t="s">
        <v>97</v>
      </c>
      <c r="D107">
        <v>122</v>
      </c>
      <c r="E107">
        <f t="shared" si="9"/>
        <v>20</v>
      </c>
      <c r="F107" t="s">
        <v>11</v>
      </c>
      <c r="J107">
        <v>64939</v>
      </c>
      <c r="M107">
        <f t="shared" si="10"/>
        <v>1.29878E-3</v>
      </c>
      <c r="O107">
        <v>7198570</v>
      </c>
      <c r="P107">
        <v>58392576</v>
      </c>
      <c r="Q107" s="1" t="s">
        <v>561</v>
      </c>
      <c r="S107">
        <f t="shared" si="11"/>
        <v>0</v>
      </c>
      <c r="T107">
        <f t="shared" si="12"/>
        <v>0</v>
      </c>
    </row>
    <row r="108" spans="1:20" x14ac:dyDescent="0.3">
      <c r="A108" t="s">
        <v>67</v>
      </c>
      <c r="B108">
        <v>21</v>
      </c>
      <c r="C108" t="s">
        <v>96</v>
      </c>
      <c r="D108">
        <v>27</v>
      </c>
      <c r="E108">
        <f t="shared" si="9"/>
        <v>27</v>
      </c>
      <c r="F108" t="s">
        <v>15</v>
      </c>
      <c r="J108">
        <v>44114</v>
      </c>
      <c r="M108">
        <f t="shared" si="10"/>
        <v>8.8228000000000004E-4</v>
      </c>
      <c r="O108">
        <v>7198573</v>
      </c>
      <c r="P108">
        <v>58531840</v>
      </c>
      <c r="Q108" s="1" t="s">
        <v>435</v>
      </c>
      <c r="S108">
        <f t="shared" si="11"/>
        <v>0</v>
      </c>
      <c r="T108">
        <f t="shared" si="12"/>
        <v>0</v>
      </c>
    </row>
    <row r="109" spans="1:20" x14ac:dyDescent="0.3">
      <c r="A109" t="s">
        <v>67</v>
      </c>
      <c r="B109">
        <v>21</v>
      </c>
      <c r="C109" t="s">
        <v>96</v>
      </c>
      <c r="D109">
        <v>39</v>
      </c>
      <c r="E109">
        <f t="shared" si="9"/>
        <v>12</v>
      </c>
      <c r="F109" t="s">
        <v>14</v>
      </c>
      <c r="J109">
        <v>184434</v>
      </c>
      <c r="M109">
        <f t="shared" si="10"/>
        <v>3.6886800000000002E-3</v>
      </c>
      <c r="O109">
        <v>7198574</v>
      </c>
      <c r="P109">
        <v>58535936</v>
      </c>
      <c r="Q109" s="1" t="s">
        <v>436</v>
      </c>
      <c r="S109">
        <f t="shared" si="11"/>
        <v>12</v>
      </c>
      <c r="T109">
        <f t="shared" si="12"/>
        <v>0</v>
      </c>
    </row>
    <row r="110" spans="1:20" x14ac:dyDescent="0.3">
      <c r="A110" t="s">
        <v>67</v>
      </c>
      <c r="B110">
        <v>21</v>
      </c>
      <c r="C110" t="s">
        <v>96</v>
      </c>
      <c r="D110">
        <v>55</v>
      </c>
      <c r="E110">
        <f t="shared" si="9"/>
        <v>16</v>
      </c>
      <c r="F110" t="s">
        <v>13</v>
      </c>
      <c r="J110">
        <v>152307</v>
      </c>
      <c r="M110">
        <f t="shared" si="10"/>
        <v>3.0461400000000001E-3</v>
      </c>
      <c r="O110">
        <v>8687535</v>
      </c>
      <c r="P110">
        <v>58347520</v>
      </c>
      <c r="Q110" s="1" t="s">
        <v>437</v>
      </c>
      <c r="S110">
        <f t="shared" si="11"/>
        <v>0</v>
      </c>
      <c r="T110">
        <f t="shared" si="12"/>
        <v>0</v>
      </c>
    </row>
    <row r="111" spans="1:20" x14ac:dyDescent="0.3">
      <c r="A111" t="s">
        <v>67</v>
      </c>
      <c r="B111">
        <v>21</v>
      </c>
      <c r="C111" t="s">
        <v>96</v>
      </c>
      <c r="D111">
        <v>81</v>
      </c>
      <c r="E111">
        <f t="shared" si="9"/>
        <v>26</v>
      </c>
      <c r="F111" t="s">
        <v>12</v>
      </c>
      <c r="J111">
        <v>87951</v>
      </c>
      <c r="M111">
        <f t="shared" si="10"/>
        <v>1.75902E-3</v>
      </c>
      <c r="O111">
        <v>8687539</v>
      </c>
      <c r="P111">
        <v>57683968</v>
      </c>
      <c r="Q111" s="1" t="s">
        <v>562</v>
      </c>
      <c r="S111">
        <f t="shared" si="11"/>
        <v>0</v>
      </c>
      <c r="T111">
        <f t="shared" si="12"/>
        <v>26</v>
      </c>
    </row>
    <row r="112" spans="1:20" x14ac:dyDescent="0.3">
      <c r="A112" t="s">
        <v>67</v>
      </c>
      <c r="B112">
        <v>21</v>
      </c>
      <c r="C112" t="s">
        <v>96</v>
      </c>
      <c r="D112">
        <v>102</v>
      </c>
      <c r="E112">
        <f t="shared" si="9"/>
        <v>21</v>
      </c>
      <c r="F112" t="s">
        <v>11</v>
      </c>
      <c r="J112">
        <v>64951</v>
      </c>
      <c r="M112">
        <f t="shared" si="10"/>
        <v>1.2990200000000001E-3</v>
      </c>
      <c r="O112">
        <v>7198578</v>
      </c>
      <c r="P112">
        <v>58183680</v>
      </c>
      <c r="Q112" s="1" t="s">
        <v>563</v>
      </c>
      <c r="S112">
        <f t="shared" si="11"/>
        <v>0</v>
      </c>
      <c r="T112">
        <f t="shared" si="12"/>
        <v>0</v>
      </c>
    </row>
    <row r="113" spans="1:20" x14ac:dyDescent="0.3">
      <c r="A113" t="s">
        <v>67</v>
      </c>
      <c r="B113">
        <v>22</v>
      </c>
      <c r="C113" t="s">
        <v>95</v>
      </c>
      <c r="D113">
        <v>22</v>
      </c>
      <c r="E113">
        <f t="shared" si="9"/>
        <v>22</v>
      </c>
      <c r="F113" t="s">
        <v>15</v>
      </c>
      <c r="J113">
        <v>44114</v>
      </c>
      <c r="M113">
        <f t="shared" si="10"/>
        <v>8.8228000000000004E-4</v>
      </c>
      <c r="O113">
        <v>7198581</v>
      </c>
      <c r="P113">
        <v>57884672</v>
      </c>
      <c r="Q113" s="1" t="s">
        <v>438</v>
      </c>
      <c r="S113">
        <f t="shared" si="11"/>
        <v>0</v>
      </c>
      <c r="T113">
        <f t="shared" si="12"/>
        <v>0</v>
      </c>
    </row>
    <row r="114" spans="1:20" x14ac:dyDescent="0.3">
      <c r="A114" t="s">
        <v>67</v>
      </c>
      <c r="B114">
        <v>22</v>
      </c>
      <c r="C114" t="s">
        <v>95</v>
      </c>
      <c r="D114">
        <v>34</v>
      </c>
      <c r="E114">
        <f t="shared" si="9"/>
        <v>12</v>
      </c>
      <c r="F114" t="s">
        <v>14</v>
      </c>
      <c r="J114">
        <v>184446</v>
      </c>
      <c r="M114">
        <f t="shared" si="10"/>
        <v>3.68892E-3</v>
      </c>
      <c r="O114">
        <v>7198582</v>
      </c>
      <c r="P114">
        <v>58761216</v>
      </c>
      <c r="Q114" s="1" t="s">
        <v>440</v>
      </c>
      <c r="S114">
        <f t="shared" si="11"/>
        <v>12</v>
      </c>
      <c r="T114">
        <f t="shared" si="12"/>
        <v>0</v>
      </c>
    </row>
    <row r="115" spans="1:20" x14ac:dyDescent="0.3">
      <c r="A115" t="s">
        <v>67</v>
      </c>
      <c r="B115">
        <v>22</v>
      </c>
      <c r="C115" t="s">
        <v>95</v>
      </c>
      <c r="D115">
        <v>52</v>
      </c>
      <c r="E115">
        <f t="shared" si="9"/>
        <v>18</v>
      </c>
      <c r="F115" t="s">
        <v>13</v>
      </c>
      <c r="J115">
        <v>152319</v>
      </c>
      <c r="M115">
        <f t="shared" si="10"/>
        <v>3.04638E-3</v>
      </c>
      <c r="O115">
        <v>8687547</v>
      </c>
      <c r="P115">
        <v>58621952</v>
      </c>
      <c r="Q115" s="1" t="s">
        <v>439</v>
      </c>
      <c r="S115">
        <f t="shared" si="11"/>
        <v>0</v>
      </c>
      <c r="T115">
        <f t="shared" si="12"/>
        <v>0</v>
      </c>
    </row>
    <row r="116" spans="1:20" x14ac:dyDescent="0.3">
      <c r="A116" t="s">
        <v>67</v>
      </c>
      <c r="B116">
        <v>22</v>
      </c>
      <c r="C116" t="s">
        <v>95</v>
      </c>
      <c r="D116">
        <v>90</v>
      </c>
      <c r="E116">
        <f t="shared" si="9"/>
        <v>38</v>
      </c>
      <c r="F116" t="s">
        <v>12</v>
      </c>
      <c r="J116">
        <v>87951</v>
      </c>
      <c r="M116">
        <f t="shared" si="10"/>
        <v>1.75902E-3</v>
      </c>
      <c r="O116">
        <v>8687549</v>
      </c>
      <c r="P116">
        <v>58036224</v>
      </c>
      <c r="Q116" s="1" t="s">
        <v>565</v>
      </c>
      <c r="S116">
        <f t="shared" si="11"/>
        <v>0</v>
      </c>
      <c r="T116">
        <f t="shared" si="12"/>
        <v>38</v>
      </c>
    </row>
    <row r="117" spans="1:20" x14ac:dyDescent="0.3">
      <c r="A117" t="s">
        <v>67</v>
      </c>
      <c r="B117">
        <v>22</v>
      </c>
      <c r="C117" t="s">
        <v>95</v>
      </c>
      <c r="D117">
        <v>80</v>
      </c>
      <c r="E117">
        <f t="shared" si="9"/>
        <v>-10</v>
      </c>
      <c r="F117" t="s">
        <v>11</v>
      </c>
      <c r="J117">
        <v>64951</v>
      </c>
      <c r="M117">
        <f t="shared" si="10"/>
        <v>1.2990200000000001E-3</v>
      </c>
      <c r="O117">
        <v>7198585</v>
      </c>
      <c r="P117">
        <v>58986496</v>
      </c>
      <c r="Q117" s="1" t="s">
        <v>564</v>
      </c>
      <c r="S117">
        <f t="shared" si="11"/>
        <v>0</v>
      </c>
      <c r="T117">
        <f t="shared" si="12"/>
        <v>0</v>
      </c>
    </row>
    <row r="118" spans="1:20" x14ac:dyDescent="0.3">
      <c r="A118" t="s">
        <v>67</v>
      </c>
      <c r="B118">
        <v>23</v>
      </c>
      <c r="C118" t="s">
        <v>94</v>
      </c>
      <c r="D118">
        <v>26</v>
      </c>
      <c r="E118">
        <f t="shared" si="9"/>
        <v>26</v>
      </c>
      <c r="F118" t="s">
        <v>15</v>
      </c>
      <c r="J118">
        <v>44114</v>
      </c>
      <c r="M118">
        <f t="shared" si="10"/>
        <v>8.8228000000000004E-4</v>
      </c>
      <c r="O118">
        <v>7198588</v>
      </c>
      <c r="P118">
        <v>59076608</v>
      </c>
      <c r="Q118" s="1" t="s">
        <v>441</v>
      </c>
      <c r="S118">
        <f t="shared" si="11"/>
        <v>0</v>
      </c>
      <c r="T118">
        <f t="shared" si="12"/>
        <v>0</v>
      </c>
    </row>
    <row r="119" spans="1:20" x14ac:dyDescent="0.3">
      <c r="A119" t="s">
        <v>67</v>
      </c>
      <c r="B119">
        <v>23</v>
      </c>
      <c r="C119" t="s">
        <v>94</v>
      </c>
      <c r="D119">
        <v>43</v>
      </c>
      <c r="E119">
        <f t="shared" si="9"/>
        <v>17</v>
      </c>
      <c r="F119" t="s">
        <v>14</v>
      </c>
      <c r="J119">
        <v>184446</v>
      </c>
      <c r="M119">
        <f t="shared" si="10"/>
        <v>3.68892E-3</v>
      </c>
      <c r="O119">
        <v>7198589</v>
      </c>
      <c r="P119">
        <v>58748928</v>
      </c>
      <c r="Q119" s="1" t="s">
        <v>442</v>
      </c>
      <c r="S119">
        <f t="shared" si="11"/>
        <v>17</v>
      </c>
      <c r="T119">
        <f t="shared" si="12"/>
        <v>0</v>
      </c>
    </row>
    <row r="120" spans="1:20" x14ac:dyDescent="0.3">
      <c r="A120" t="s">
        <v>67</v>
      </c>
      <c r="B120">
        <v>23</v>
      </c>
      <c r="C120" t="s">
        <v>94</v>
      </c>
      <c r="D120">
        <v>53</v>
      </c>
      <c r="E120">
        <f t="shared" si="9"/>
        <v>10</v>
      </c>
      <c r="F120" t="s">
        <v>13</v>
      </c>
      <c r="J120">
        <v>152307</v>
      </c>
      <c r="M120">
        <f t="shared" si="10"/>
        <v>3.0461400000000001E-3</v>
      </c>
      <c r="O120">
        <v>8687560</v>
      </c>
      <c r="P120">
        <v>59187200</v>
      </c>
      <c r="Q120" s="1" t="s">
        <v>443</v>
      </c>
      <c r="S120">
        <f t="shared" si="11"/>
        <v>0</v>
      </c>
      <c r="T120">
        <f t="shared" si="12"/>
        <v>0</v>
      </c>
    </row>
    <row r="121" spans="1:20" x14ac:dyDescent="0.3">
      <c r="A121" t="s">
        <v>67</v>
      </c>
      <c r="B121">
        <v>23</v>
      </c>
      <c r="C121" t="s">
        <v>94</v>
      </c>
      <c r="D121">
        <v>82</v>
      </c>
      <c r="E121">
        <f t="shared" si="9"/>
        <v>29</v>
      </c>
      <c r="F121" t="s">
        <v>12</v>
      </c>
      <c r="J121">
        <v>87939</v>
      </c>
      <c r="M121">
        <f t="shared" si="10"/>
        <v>1.7587799999999999E-3</v>
      </c>
      <c r="O121">
        <v>8687563</v>
      </c>
      <c r="P121">
        <v>59404288</v>
      </c>
      <c r="Q121" s="1" t="s">
        <v>566</v>
      </c>
      <c r="S121">
        <f t="shared" si="11"/>
        <v>0</v>
      </c>
      <c r="T121">
        <f t="shared" si="12"/>
        <v>29</v>
      </c>
    </row>
    <row r="122" spans="1:20" x14ac:dyDescent="0.3">
      <c r="A122" t="s">
        <v>67</v>
      </c>
      <c r="B122">
        <v>23</v>
      </c>
      <c r="C122" t="s">
        <v>94</v>
      </c>
      <c r="D122">
        <v>99</v>
      </c>
      <c r="E122">
        <f t="shared" si="9"/>
        <v>17</v>
      </c>
      <c r="F122" t="s">
        <v>11</v>
      </c>
      <c r="J122">
        <v>64939</v>
      </c>
      <c r="M122">
        <f t="shared" si="10"/>
        <v>1.29878E-3</v>
      </c>
      <c r="O122">
        <v>7198593</v>
      </c>
      <c r="P122">
        <v>59949056</v>
      </c>
      <c r="Q122" s="1" t="s">
        <v>567</v>
      </c>
      <c r="S122">
        <f t="shared" si="11"/>
        <v>0</v>
      </c>
      <c r="T122">
        <f t="shared" si="12"/>
        <v>0</v>
      </c>
    </row>
    <row r="123" spans="1:20" x14ac:dyDescent="0.3">
      <c r="A123" t="s">
        <v>67</v>
      </c>
      <c r="B123">
        <v>24</v>
      </c>
      <c r="C123" t="s">
        <v>93</v>
      </c>
      <c r="D123">
        <v>22</v>
      </c>
      <c r="E123">
        <f t="shared" si="9"/>
        <v>22</v>
      </c>
      <c r="F123" t="s">
        <v>15</v>
      </c>
      <c r="J123">
        <v>44114</v>
      </c>
      <c r="M123">
        <f t="shared" si="10"/>
        <v>8.8228000000000004E-4</v>
      </c>
      <c r="O123">
        <v>7198596</v>
      </c>
      <c r="P123">
        <v>59215872</v>
      </c>
      <c r="Q123" s="1" t="s">
        <v>444</v>
      </c>
      <c r="S123">
        <f t="shared" si="11"/>
        <v>0</v>
      </c>
      <c r="T123">
        <f t="shared" si="12"/>
        <v>0</v>
      </c>
    </row>
    <row r="124" spans="1:20" x14ac:dyDescent="0.3">
      <c r="A124" t="s">
        <v>67</v>
      </c>
      <c r="B124">
        <v>24</v>
      </c>
      <c r="C124" t="s">
        <v>93</v>
      </c>
      <c r="D124">
        <v>34</v>
      </c>
      <c r="E124">
        <f t="shared" si="9"/>
        <v>12</v>
      </c>
      <c r="F124" t="s">
        <v>14</v>
      </c>
      <c r="J124">
        <v>184422</v>
      </c>
      <c r="M124">
        <f t="shared" si="10"/>
        <v>3.6884399999999999E-3</v>
      </c>
      <c r="O124">
        <v>7198597</v>
      </c>
      <c r="P124">
        <v>59293696</v>
      </c>
      <c r="Q124" s="1" t="s">
        <v>445</v>
      </c>
      <c r="S124">
        <f t="shared" si="11"/>
        <v>12</v>
      </c>
      <c r="T124">
        <f t="shared" si="12"/>
        <v>0</v>
      </c>
    </row>
    <row r="125" spans="1:20" x14ac:dyDescent="0.3">
      <c r="A125" t="s">
        <v>67</v>
      </c>
      <c r="B125">
        <v>24</v>
      </c>
      <c r="C125" t="s">
        <v>93</v>
      </c>
      <c r="D125">
        <v>65</v>
      </c>
      <c r="E125">
        <f t="shared" si="9"/>
        <v>31</v>
      </c>
      <c r="F125" t="s">
        <v>13</v>
      </c>
      <c r="J125">
        <v>152295</v>
      </c>
      <c r="M125">
        <f t="shared" si="10"/>
        <v>3.0459000000000003E-3</v>
      </c>
      <c r="O125">
        <v>8687572</v>
      </c>
      <c r="P125">
        <v>59420672</v>
      </c>
      <c r="Q125" s="1" t="s">
        <v>446</v>
      </c>
      <c r="S125">
        <f t="shared" si="11"/>
        <v>0</v>
      </c>
      <c r="T125">
        <f t="shared" si="12"/>
        <v>0</v>
      </c>
    </row>
    <row r="126" spans="1:20" x14ac:dyDescent="0.3">
      <c r="A126" t="s">
        <v>67</v>
      </c>
      <c r="B126">
        <v>24</v>
      </c>
      <c r="C126" t="s">
        <v>93</v>
      </c>
      <c r="D126">
        <v>83</v>
      </c>
      <c r="E126">
        <f t="shared" si="9"/>
        <v>18</v>
      </c>
      <c r="F126" t="s">
        <v>12</v>
      </c>
      <c r="J126">
        <v>87951</v>
      </c>
      <c r="M126">
        <f t="shared" si="10"/>
        <v>1.75902E-3</v>
      </c>
      <c r="O126">
        <v>8687573</v>
      </c>
      <c r="P126">
        <v>58638336</v>
      </c>
      <c r="Q126" s="1" t="s">
        <v>568</v>
      </c>
      <c r="S126">
        <f t="shared" si="11"/>
        <v>0</v>
      </c>
      <c r="T126">
        <f t="shared" si="12"/>
        <v>18</v>
      </c>
    </row>
    <row r="127" spans="1:20" x14ac:dyDescent="0.3">
      <c r="A127" t="s">
        <v>67</v>
      </c>
      <c r="B127">
        <v>24</v>
      </c>
      <c r="C127" t="s">
        <v>93</v>
      </c>
      <c r="D127">
        <v>96</v>
      </c>
      <c r="E127">
        <f t="shared" si="9"/>
        <v>13</v>
      </c>
      <c r="F127" t="s">
        <v>11</v>
      </c>
      <c r="J127">
        <v>64951</v>
      </c>
      <c r="M127">
        <f t="shared" si="10"/>
        <v>1.2990200000000001E-3</v>
      </c>
      <c r="O127">
        <v>7198601</v>
      </c>
      <c r="P127">
        <v>58990592</v>
      </c>
      <c r="Q127" s="1" t="s">
        <v>569</v>
      </c>
      <c r="S127">
        <f t="shared" si="11"/>
        <v>0</v>
      </c>
      <c r="T127">
        <f t="shared" si="12"/>
        <v>0</v>
      </c>
    </row>
    <row r="128" spans="1:20" x14ac:dyDescent="0.3">
      <c r="A128" t="s">
        <v>67</v>
      </c>
      <c r="B128">
        <v>25</v>
      </c>
      <c r="C128" t="s">
        <v>92</v>
      </c>
      <c r="D128">
        <v>22</v>
      </c>
      <c r="E128">
        <f t="shared" si="9"/>
        <v>22</v>
      </c>
      <c r="F128" t="s">
        <v>15</v>
      </c>
      <c r="J128">
        <v>44114</v>
      </c>
      <c r="M128">
        <f t="shared" si="10"/>
        <v>8.8228000000000004E-4</v>
      </c>
      <c r="O128">
        <v>7198604</v>
      </c>
      <c r="P128">
        <v>58843136</v>
      </c>
      <c r="Q128" s="1" t="s">
        <v>447</v>
      </c>
      <c r="S128">
        <f t="shared" si="11"/>
        <v>0</v>
      </c>
      <c r="T128">
        <f t="shared" si="12"/>
        <v>0</v>
      </c>
    </row>
    <row r="129" spans="1:20" x14ac:dyDescent="0.3">
      <c r="A129" t="s">
        <v>67</v>
      </c>
      <c r="B129">
        <v>25</v>
      </c>
      <c r="C129" t="s">
        <v>92</v>
      </c>
      <c r="D129">
        <v>34</v>
      </c>
      <c r="E129">
        <f t="shared" si="9"/>
        <v>12</v>
      </c>
      <c r="F129" t="s">
        <v>14</v>
      </c>
      <c r="J129">
        <v>184446</v>
      </c>
      <c r="M129">
        <f t="shared" si="10"/>
        <v>3.68892E-3</v>
      </c>
      <c r="O129">
        <v>7198605</v>
      </c>
      <c r="P129">
        <v>58683392</v>
      </c>
      <c r="Q129" s="1" t="s">
        <v>448</v>
      </c>
      <c r="S129">
        <f t="shared" si="11"/>
        <v>12</v>
      </c>
      <c r="T129">
        <f t="shared" si="12"/>
        <v>0</v>
      </c>
    </row>
    <row r="130" spans="1:20" x14ac:dyDescent="0.3">
      <c r="A130" t="s">
        <v>67</v>
      </c>
      <c r="B130">
        <v>25</v>
      </c>
      <c r="C130" t="s">
        <v>92</v>
      </c>
      <c r="D130">
        <v>102</v>
      </c>
      <c r="E130">
        <f t="shared" si="9"/>
        <v>68</v>
      </c>
      <c r="F130" t="s">
        <v>13</v>
      </c>
      <c r="J130">
        <v>152319</v>
      </c>
      <c r="M130">
        <f t="shared" si="10"/>
        <v>3.04638E-3</v>
      </c>
      <c r="O130">
        <v>8687587</v>
      </c>
      <c r="P130">
        <v>59396096</v>
      </c>
      <c r="Q130" s="1" t="s">
        <v>449</v>
      </c>
      <c r="S130">
        <f t="shared" si="11"/>
        <v>0</v>
      </c>
      <c r="T130">
        <f t="shared" si="12"/>
        <v>0</v>
      </c>
    </row>
    <row r="131" spans="1:20" x14ac:dyDescent="0.3">
      <c r="A131" t="s">
        <v>67</v>
      </c>
      <c r="B131">
        <v>25</v>
      </c>
      <c r="C131" t="s">
        <v>92</v>
      </c>
      <c r="D131">
        <v>162</v>
      </c>
      <c r="E131">
        <f t="shared" si="9"/>
        <v>60</v>
      </c>
      <c r="F131" t="s">
        <v>12</v>
      </c>
      <c r="J131">
        <v>87951</v>
      </c>
      <c r="M131">
        <f t="shared" si="10"/>
        <v>1.75902E-3</v>
      </c>
      <c r="O131">
        <v>8687591</v>
      </c>
      <c r="P131">
        <v>59064320</v>
      </c>
      <c r="Q131" s="1" t="s">
        <v>570</v>
      </c>
      <c r="S131">
        <f t="shared" ref="S131:S162" si="13">IF(F131="exitTransaction",E131,0)</f>
        <v>0</v>
      </c>
      <c r="T131">
        <f t="shared" ref="T131:T162" si="14">IF(F131="entryTransaction",E131,0)</f>
        <v>60</v>
      </c>
    </row>
    <row r="132" spans="1:20" x14ac:dyDescent="0.3">
      <c r="A132" t="s">
        <v>67</v>
      </c>
      <c r="B132">
        <v>25</v>
      </c>
      <c r="C132" t="s">
        <v>92</v>
      </c>
      <c r="D132">
        <v>168</v>
      </c>
      <c r="E132">
        <f t="shared" ref="E132:E195" si="15">IF(B132&lt;&gt;B131,D132,D132-D131)</f>
        <v>6</v>
      </c>
      <c r="F132" t="s">
        <v>11</v>
      </c>
      <c r="J132">
        <v>64951</v>
      </c>
      <c r="M132">
        <f t="shared" ref="M132:M195" si="16">0.00000002*J132</f>
        <v>1.2990200000000001E-3</v>
      </c>
      <c r="O132">
        <v>7198614</v>
      </c>
      <c r="P132">
        <v>59367424</v>
      </c>
      <c r="Q132" s="1" t="s">
        <v>571</v>
      </c>
      <c r="S132">
        <f t="shared" si="13"/>
        <v>0</v>
      </c>
      <c r="T132">
        <f t="shared" si="14"/>
        <v>0</v>
      </c>
    </row>
    <row r="133" spans="1:20" x14ac:dyDescent="0.3">
      <c r="A133" t="s">
        <v>67</v>
      </c>
      <c r="B133">
        <v>26</v>
      </c>
      <c r="C133" t="s">
        <v>91</v>
      </c>
      <c r="D133">
        <v>26</v>
      </c>
      <c r="E133">
        <f t="shared" si="15"/>
        <v>26</v>
      </c>
      <c r="F133" t="s">
        <v>15</v>
      </c>
      <c r="J133">
        <v>44114</v>
      </c>
      <c r="M133">
        <f t="shared" si="16"/>
        <v>8.8228000000000004E-4</v>
      </c>
      <c r="O133">
        <v>7198617</v>
      </c>
      <c r="P133">
        <v>60112896</v>
      </c>
      <c r="Q133" s="1" t="s">
        <v>450</v>
      </c>
      <c r="S133">
        <f t="shared" si="13"/>
        <v>0</v>
      </c>
      <c r="T133">
        <f t="shared" si="14"/>
        <v>0</v>
      </c>
    </row>
    <row r="134" spans="1:20" x14ac:dyDescent="0.3">
      <c r="A134" t="s">
        <v>67</v>
      </c>
      <c r="B134">
        <v>26</v>
      </c>
      <c r="C134" t="s">
        <v>91</v>
      </c>
      <c r="D134">
        <v>39</v>
      </c>
      <c r="E134">
        <f t="shared" si="15"/>
        <v>13</v>
      </c>
      <c r="F134" t="s">
        <v>14</v>
      </c>
      <c r="J134">
        <v>184434</v>
      </c>
      <c r="M134">
        <f t="shared" si="16"/>
        <v>3.6886800000000002E-3</v>
      </c>
      <c r="O134">
        <v>7198618</v>
      </c>
      <c r="P134">
        <v>59977728</v>
      </c>
      <c r="Q134" s="1" t="s">
        <v>451</v>
      </c>
      <c r="S134">
        <f t="shared" si="13"/>
        <v>13</v>
      </c>
      <c r="T134">
        <f t="shared" si="14"/>
        <v>0</v>
      </c>
    </row>
    <row r="135" spans="1:20" x14ac:dyDescent="0.3">
      <c r="A135" t="s">
        <v>67</v>
      </c>
      <c r="B135">
        <v>26</v>
      </c>
      <c r="C135" t="s">
        <v>91</v>
      </c>
      <c r="D135">
        <v>51</v>
      </c>
      <c r="E135">
        <f t="shared" si="15"/>
        <v>12</v>
      </c>
      <c r="F135" t="s">
        <v>13</v>
      </c>
      <c r="J135">
        <v>152307</v>
      </c>
      <c r="M135">
        <f t="shared" si="16"/>
        <v>3.0461400000000001E-3</v>
      </c>
      <c r="O135">
        <v>8687600</v>
      </c>
      <c r="P135">
        <v>59772928</v>
      </c>
      <c r="Q135" s="1" t="s">
        <v>452</v>
      </c>
      <c r="S135">
        <f t="shared" si="13"/>
        <v>0</v>
      </c>
      <c r="T135">
        <f t="shared" si="14"/>
        <v>0</v>
      </c>
    </row>
    <row r="136" spans="1:20" x14ac:dyDescent="0.3">
      <c r="A136" t="s">
        <v>67</v>
      </c>
      <c r="B136">
        <v>26</v>
      </c>
      <c r="C136" t="s">
        <v>91</v>
      </c>
      <c r="D136">
        <v>98</v>
      </c>
      <c r="E136">
        <f t="shared" si="15"/>
        <v>47</v>
      </c>
      <c r="F136" t="s">
        <v>12</v>
      </c>
      <c r="J136">
        <v>87951</v>
      </c>
      <c r="M136">
        <f t="shared" si="16"/>
        <v>1.75902E-3</v>
      </c>
      <c r="O136">
        <v>8687604</v>
      </c>
      <c r="P136">
        <v>59908096</v>
      </c>
      <c r="Q136" s="1" t="s">
        <v>572</v>
      </c>
      <c r="S136">
        <f t="shared" si="13"/>
        <v>0</v>
      </c>
      <c r="T136">
        <f t="shared" si="14"/>
        <v>47</v>
      </c>
    </row>
    <row r="137" spans="1:20" x14ac:dyDescent="0.3">
      <c r="A137" t="s">
        <v>67</v>
      </c>
      <c r="B137">
        <v>26</v>
      </c>
      <c r="C137" t="s">
        <v>91</v>
      </c>
      <c r="D137">
        <v>114</v>
      </c>
      <c r="E137">
        <f t="shared" si="15"/>
        <v>16</v>
      </c>
      <c r="F137" t="s">
        <v>11</v>
      </c>
      <c r="J137">
        <v>64951</v>
      </c>
      <c r="M137">
        <f t="shared" si="16"/>
        <v>1.2990200000000001E-3</v>
      </c>
      <c r="O137">
        <v>7198623</v>
      </c>
      <c r="P137">
        <v>59555840</v>
      </c>
      <c r="Q137" s="1" t="s">
        <v>573</v>
      </c>
      <c r="S137">
        <f t="shared" si="13"/>
        <v>0</v>
      </c>
      <c r="T137">
        <f t="shared" si="14"/>
        <v>0</v>
      </c>
    </row>
    <row r="138" spans="1:20" x14ac:dyDescent="0.3">
      <c r="A138" t="s">
        <v>67</v>
      </c>
      <c r="B138">
        <v>27</v>
      </c>
      <c r="C138" t="s">
        <v>90</v>
      </c>
      <c r="D138">
        <v>24</v>
      </c>
      <c r="E138">
        <f t="shared" si="15"/>
        <v>24</v>
      </c>
      <c r="F138" t="s">
        <v>15</v>
      </c>
      <c r="J138">
        <v>44114</v>
      </c>
      <c r="M138">
        <f t="shared" si="16"/>
        <v>8.8228000000000004E-4</v>
      </c>
      <c r="O138">
        <v>7198626</v>
      </c>
      <c r="P138">
        <v>59744256</v>
      </c>
      <c r="Q138" s="1" t="s">
        <v>453</v>
      </c>
      <c r="S138">
        <f t="shared" si="13"/>
        <v>0</v>
      </c>
      <c r="T138">
        <f t="shared" si="14"/>
        <v>0</v>
      </c>
    </row>
    <row r="139" spans="1:20" x14ac:dyDescent="0.3">
      <c r="A139" t="s">
        <v>67</v>
      </c>
      <c r="B139">
        <v>27</v>
      </c>
      <c r="C139" t="s">
        <v>90</v>
      </c>
      <c r="D139">
        <v>36</v>
      </c>
      <c r="E139">
        <f t="shared" si="15"/>
        <v>12</v>
      </c>
      <c r="F139" t="s">
        <v>14</v>
      </c>
      <c r="J139">
        <v>184446</v>
      </c>
      <c r="M139">
        <f t="shared" si="16"/>
        <v>3.68892E-3</v>
      </c>
      <c r="O139">
        <v>7198627</v>
      </c>
      <c r="P139">
        <v>59678720</v>
      </c>
      <c r="Q139" s="1" t="s">
        <v>454</v>
      </c>
      <c r="S139">
        <f t="shared" si="13"/>
        <v>12</v>
      </c>
      <c r="T139">
        <f t="shared" si="14"/>
        <v>0</v>
      </c>
    </row>
    <row r="140" spans="1:20" x14ac:dyDescent="0.3">
      <c r="A140" t="s">
        <v>67</v>
      </c>
      <c r="B140">
        <v>27</v>
      </c>
      <c r="C140" t="s">
        <v>90</v>
      </c>
      <c r="D140">
        <v>49</v>
      </c>
      <c r="E140">
        <f t="shared" si="15"/>
        <v>13</v>
      </c>
      <c r="F140" t="s">
        <v>13</v>
      </c>
      <c r="J140">
        <v>152319</v>
      </c>
      <c r="M140">
        <f t="shared" si="16"/>
        <v>3.04638E-3</v>
      </c>
      <c r="O140">
        <v>8687611</v>
      </c>
      <c r="P140">
        <v>59609088</v>
      </c>
      <c r="Q140" s="1" t="s">
        <v>455</v>
      </c>
      <c r="S140">
        <f t="shared" si="13"/>
        <v>0</v>
      </c>
      <c r="T140">
        <f t="shared" si="14"/>
        <v>0</v>
      </c>
    </row>
    <row r="141" spans="1:20" x14ac:dyDescent="0.3">
      <c r="A141" t="s">
        <v>67</v>
      </c>
      <c r="B141">
        <v>27</v>
      </c>
      <c r="C141" t="s">
        <v>90</v>
      </c>
      <c r="D141">
        <v>65</v>
      </c>
      <c r="E141">
        <f t="shared" si="15"/>
        <v>16</v>
      </c>
      <c r="F141" t="s">
        <v>12</v>
      </c>
      <c r="J141">
        <v>87951</v>
      </c>
      <c r="M141">
        <f t="shared" si="16"/>
        <v>1.75902E-3</v>
      </c>
      <c r="O141">
        <v>8687612</v>
      </c>
      <c r="P141">
        <v>60317696</v>
      </c>
      <c r="Q141" s="1" t="s">
        <v>574</v>
      </c>
      <c r="S141">
        <f t="shared" si="13"/>
        <v>0</v>
      </c>
      <c r="T141">
        <f t="shared" si="14"/>
        <v>16</v>
      </c>
    </row>
    <row r="142" spans="1:20" x14ac:dyDescent="0.3">
      <c r="A142" t="s">
        <v>67</v>
      </c>
      <c r="B142">
        <v>27</v>
      </c>
      <c r="C142" t="s">
        <v>90</v>
      </c>
      <c r="D142">
        <v>81</v>
      </c>
      <c r="E142">
        <f t="shared" si="15"/>
        <v>16</v>
      </c>
      <c r="F142" t="s">
        <v>11</v>
      </c>
      <c r="J142">
        <v>64951</v>
      </c>
      <c r="M142">
        <f t="shared" si="16"/>
        <v>1.2990200000000001E-3</v>
      </c>
      <c r="O142">
        <v>7198630</v>
      </c>
      <c r="P142">
        <v>60006400</v>
      </c>
      <c r="Q142" s="1" t="s">
        <v>575</v>
      </c>
      <c r="S142">
        <f t="shared" si="13"/>
        <v>0</v>
      </c>
      <c r="T142">
        <f t="shared" si="14"/>
        <v>0</v>
      </c>
    </row>
    <row r="143" spans="1:20" x14ac:dyDescent="0.3">
      <c r="A143" t="s">
        <v>67</v>
      </c>
      <c r="B143">
        <v>28</v>
      </c>
      <c r="C143" t="s">
        <v>89</v>
      </c>
      <c r="D143">
        <v>24</v>
      </c>
      <c r="E143">
        <f t="shared" si="15"/>
        <v>24</v>
      </c>
      <c r="F143" t="s">
        <v>15</v>
      </c>
      <c r="J143">
        <v>44114</v>
      </c>
      <c r="M143">
        <f t="shared" si="16"/>
        <v>8.8228000000000004E-4</v>
      </c>
      <c r="O143">
        <v>7198633</v>
      </c>
      <c r="P143">
        <v>60309504</v>
      </c>
      <c r="Q143" s="1" t="s">
        <v>456</v>
      </c>
      <c r="S143">
        <f t="shared" si="13"/>
        <v>0</v>
      </c>
      <c r="T143">
        <f t="shared" si="14"/>
        <v>0</v>
      </c>
    </row>
    <row r="144" spans="1:20" x14ac:dyDescent="0.3">
      <c r="A144" t="s">
        <v>67</v>
      </c>
      <c r="B144">
        <v>28</v>
      </c>
      <c r="C144" t="s">
        <v>89</v>
      </c>
      <c r="D144">
        <v>36</v>
      </c>
      <c r="E144">
        <f t="shared" si="15"/>
        <v>12</v>
      </c>
      <c r="F144" t="s">
        <v>14</v>
      </c>
      <c r="J144">
        <v>184434</v>
      </c>
      <c r="M144">
        <f t="shared" si="16"/>
        <v>3.6886800000000002E-3</v>
      </c>
      <c r="O144">
        <v>7198634</v>
      </c>
      <c r="P144">
        <v>60305408</v>
      </c>
      <c r="Q144" s="1" t="s">
        <v>457</v>
      </c>
      <c r="S144">
        <f t="shared" si="13"/>
        <v>12</v>
      </c>
      <c r="T144">
        <f t="shared" si="14"/>
        <v>0</v>
      </c>
    </row>
    <row r="145" spans="1:20" x14ac:dyDescent="0.3">
      <c r="A145" t="s">
        <v>67</v>
      </c>
      <c r="B145">
        <v>28</v>
      </c>
      <c r="C145" t="s">
        <v>89</v>
      </c>
      <c r="D145">
        <v>65</v>
      </c>
      <c r="E145">
        <f t="shared" si="15"/>
        <v>29</v>
      </c>
      <c r="F145" t="s">
        <v>13</v>
      </c>
      <c r="J145">
        <v>152307</v>
      </c>
      <c r="M145">
        <f t="shared" si="16"/>
        <v>3.0461400000000001E-3</v>
      </c>
      <c r="O145">
        <v>8687622</v>
      </c>
      <c r="P145">
        <v>60026880</v>
      </c>
      <c r="Q145" s="1" t="s">
        <v>458</v>
      </c>
      <c r="S145">
        <f t="shared" si="13"/>
        <v>0</v>
      </c>
      <c r="T145">
        <f t="shared" si="14"/>
        <v>0</v>
      </c>
    </row>
    <row r="146" spans="1:20" x14ac:dyDescent="0.3">
      <c r="A146" t="s">
        <v>67</v>
      </c>
      <c r="B146">
        <v>28</v>
      </c>
      <c r="C146" t="s">
        <v>89</v>
      </c>
      <c r="D146">
        <v>79</v>
      </c>
      <c r="E146">
        <f t="shared" si="15"/>
        <v>14</v>
      </c>
      <c r="F146" t="s">
        <v>12</v>
      </c>
      <c r="J146">
        <v>87951</v>
      </c>
      <c r="M146">
        <f t="shared" si="16"/>
        <v>1.75902E-3</v>
      </c>
      <c r="O146">
        <v>8687624</v>
      </c>
      <c r="P146">
        <v>59277312</v>
      </c>
      <c r="Q146" s="1" t="s">
        <v>576</v>
      </c>
      <c r="S146">
        <f t="shared" si="13"/>
        <v>0</v>
      </c>
      <c r="T146">
        <f t="shared" si="14"/>
        <v>14</v>
      </c>
    </row>
    <row r="147" spans="1:20" x14ac:dyDescent="0.3">
      <c r="A147" t="s">
        <v>67</v>
      </c>
      <c r="B147">
        <v>28</v>
      </c>
      <c r="C147" t="s">
        <v>89</v>
      </c>
      <c r="D147">
        <v>95</v>
      </c>
      <c r="E147">
        <f t="shared" si="15"/>
        <v>16</v>
      </c>
      <c r="F147" t="s">
        <v>11</v>
      </c>
      <c r="J147">
        <v>64951</v>
      </c>
      <c r="M147">
        <f t="shared" si="16"/>
        <v>1.2990200000000001E-3</v>
      </c>
      <c r="O147">
        <v>7198638</v>
      </c>
      <c r="P147">
        <v>58834944</v>
      </c>
      <c r="Q147" s="1" t="s">
        <v>577</v>
      </c>
      <c r="S147">
        <f t="shared" si="13"/>
        <v>0</v>
      </c>
      <c r="T147">
        <f t="shared" si="14"/>
        <v>0</v>
      </c>
    </row>
    <row r="148" spans="1:20" x14ac:dyDescent="0.3">
      <c r="A148" t="s">
        <v>67</v>
      </c>
      <c r="B148">
        <v>29</v>
      </c>
      <c r="C148" t="s">
        <v>88</v>
      </c>
      <c r="D148">
        <v>22</v>
      </c>
      <c r="E148">
        <f t="shared" si="15"/>
        <v>22</v>
      </c>
      <c r="F148" t="s">
        <v>15</v>
      </c>
      <c r="J148">
        <v>44114</v>
      </c>
      <c r="M148">
        <f t="shared" si="16"/>
        <v>8.8228000000000004E-4</v>
      </c>
      <c r="O148">
        <v>7198641</v>
      </c>
      <c r="P148">
        <v>59756544</v>
      </c>
      <c r="Q148" s="1" t="s">
        <v>459</v>
      </c>
      <c r="S148">
        <f t="shared" si="13"/>
        <v>0</v>
      </c>
      <c r="T148">
        <f t="shared" si="14"/>
        <v>0</v>
      </c>
    </row>
    <row r="149" spans="1:20" x14ac:dyDescent="0.3">
      <c r="A149" t="s">
        <v>67</v>
      </c>
      <c r="B149">
        <v>29</v>
      </c>
      <c r="C149" t="s">
        <v>88</v>
      </c>
      <c r="D149">
        <v>42</v>
      </c>
      <c r="E149">
        <f t="shared" si="15"/>
        <v>20</v>
      </c>
      <c r="F149" t="s">
        <v>14</v>
      </c>
      <c r="J149">
        <v>184446</v>
      </c>
      <c r="M149">
        <f t="shared" si="16"/>
        <v>3.68892E-3</v>
      </c>
      <c r="O149">
        <v>7198642</v>
      </c>
      <c r="P149">
        <v>59920384</v>
      </c>
      <c r="Q149" s="1" t="s">
        <v>460</v>
      </c>
      <c r="S149">
        <f t="shared" si="13"/>
        <v>20</v>
      </c>
      <c r="T149">
        <f t="shared" si="14"/>
        <v>0</v>
      </c>
    </row>
    <row r="150" spans="1:20" x14ac:dyDescent="0.3">
      <c r="A150" t="s">
        <v>67</v>
      </c>
      <c r="B150">
        <v>29</v>
      </c>
      <c r="C150" t="s">
        <v>88</v>
      </c>
      <c r="D150">
        <v>61</v>
      </c>
      <c r="E150">
        <f t="shared" si="15"/>
        <v>19</v>
      </c>
      <c r="F150" t="s">
        <v>13</v>
      </c>
      <c r="J150">
        <v>152307</v>
      </c>
      <c r="M150">
        <f t="shared" si="16"/>
        <v>3.0461400000000001E-3</v>
      </c>
      <c r="O150">
        <v>8687636</v>
      </c>
      <c r="P150">
        <v>59305984</v>
      </c>
      <c r="Q150" s="1" t="s">
        <v>461</v>
      </c>
      <c r="S150">
        <f t="shared" si="13"/>
        <v>0</v>
      </c>
      <c r="T150">
        <f t="shared" si="14"/>
        <v>0</v>
      </c>
    </row>
    <row r="151" spans="1:20" x14ac:dyDescent="0.3">
      <c r="A151" t="s">
        <v>67</v>
      </c>
      <c r="B151">
        <v>29</v>
      </c>
      <c r="C151" t="s">
        <v>88</v>
      </c>
      <c r="D151">
        <v>79</v>
      </c>
      <c r="E151">
        <f t="shared" si="15"/>
        <v>18</v>
      </c>
      <c r="F151" t="s">
        <v>12</v>
      </c>
      <c r="J151">
        <v>87939</v>
      </c>
      <c r="M151">
        <f t="shared" si="16"/>
        <v>1.7587799999999999E-3</v>
      </c>
      <c r="O151">
        <v>8687638</v>
      </c>
      <c r="P151">
        <v>59678720</v>
      </c>
      <c r="Q151" s="1" t="s">
        <v>578</v>
      </c>
      <c r="S151">
        <f t="shared" si="13"/>
        <v>0</v>
      </c>
      <c r="T151">
        <f t="shared" si="14"/>
        <v>18</v>
      </c>
    </row>
    <row r="152" spans="1:20" x14ac:dyDescent="0.3">
      <c r="A152" t="s">
        <v>67</v>
      </c>
      <c r="B152">
        <v>29</v>
      </c>
      <c r="C152" t="s">
        <v>88</v>
      </c>
      <c r="D152">
        <v>100</v>
      </c>
      <c r="E152">
        <f t="shared" si="15"/>
        <v>21</v>
      </c>
      <c r="F152" t="s">
        <v>11</v>
      </c>
      <c r="J152">
        <v>64939</v>
      </c>
      <c r="M152">
        <f t="shared" si="16"/>
        <v>1.29878E-3</v>
      </c>
      <c r="O152">
        <v>7198646</v>
      </c>
      <c r="P152">
        <v>59437056</v>
      </c>
      <c r="Q152" s="1" t="s">
        <v>579</v>
      </c>
      <c r="S152">
        <f t="shared" si="13"/>
        <v>0</v>
      </c>
      <c r="T152">
        <f t="shared" si="14"/>
        <v>0</v>
      </c>
    </row>
    <row r="153" spans="1:20" x14ac:dyDescent="0.3">
      <c r="A153" t="s">
        <v>67</v>
      </c>
      <c r="B153">
        <v>30</v>
      </c>
      <c r="C153" t="s">
        <v>87</v>
      </c>
      <c r="D153">
        <v>20</v>
      </c>
      <c r="E153">
        <f t="shared" si="15"/>
        <v>20</v>
      </c>
      <c r="F153" t="s">
        <v>15</v>
      </c>
      <c r="J153">
        <v>44114</v>
      </c>
      <c r="M153">
        <f t="shared" si="16"/>
        <v>8.8228000000000004E-4</v>
      </c>
      <c r="O153">
        <v>7198649</v>
      </c>
      <c r="P153">
        <v>59813888</v>
      </c>
      <c r="Q153" s="1" t="s">
        <v>462</v>
      </c>
      <c r="S153">
        <f t="shared" si="13"/>
        <v>0</v>
      </c>
      <c r="T153">
        <f t="shared" si="14"/>
        <v>0</v>
      </c>
    </row>
    <row r="154" spans="1:20" x14ac:dyDescent="0.3">
      <c r="A154" t="s">
        <v>67</v>
      </c>
      <c r="B154">
        <v>30</v>
      </c>
      <c r="C154" t="s">
        <v>87</v>
      </c>
      <c r="D154">
        <v>36</v>
      </c>
      <c r="E154">
        <f t="shared" si="15"/>
        <v>16</v>
      </c>
      <c r="F154" t="s">
        <v>14</v>
      </c>
      <c r="J154">
        <v>184446</v>
      </c>
      <c r="M154">
        <f t="shared" si="16"/>
        <v>3.68892E-3</v>
      </c>
      <c r="O154">
        <v>7198650</v>
      </c>
      <c r="P154">
        <v>59777024</v>
      </c>
      <c r="Q154" s="1" t="s">
        <v>463</v>
      </c>
      <c r="S154">
        <f t="shared" si="13"/>
        <v>16</v>
      </c>
      <c r="T154">
        <f t="shared" si="14"/>
        <v>0</v>
      </c>
    </row>
    <row r="155" spans="1:20" x14ac:dyDescent="0.3">
      <c r="A155" t="s">
        <v>67</v>
      </c>
      <c r="B155">
        <v>30</v>
      </c>
      <c r="C155" t="s">
        <v>87</v>
      </c>
      <c r="D155">
        <v>63</v>
      </c>
      <c r="E155">
        <f t="shared" si="15"/>
        <v>27</v>
      </c>
      <c r="F155" t="s">
        <v>13</v>
      </c>
      <c r="J155">
        <v>152319</v>
      </c>
      <c r="M155">
        <f t="shared" si="16"/>
        <v>3.04638E-3</v>
      </c>
      <c r="O155">
        <v>8687649</v>
      </c>
      <c r="P155">
        <v>59817984</v>
      </c>
      <c r="Q155" s="1" t="s">
        <v>464</v>
      </c>
      <c r="S155">
        <f t="shared" si="13"/>
        <v>0</v>
      </c>
      <c r="T155">
        <f t="shared" si="14"/>
        <v>0</v>
      </c>
    </row>
    <row r="156" spans="1:20" x14ac:dyDescent="0.3">
      <c r="A156" t="s">
        <v>67</v>
      </c>
      <c r="B156">
        <v>30</v>
      </c>
      <c r="C156" t="s">
        <v>87</v>
      </c>
      <c r="D156">
        <v>107</v>
      </c>
      <c r="E156">
        <f t="shared" si="15"/>
        <v>44</v>
      </c>
      <c r="F156" t="s">
        <v>12</v>
      </c>
      <c r="J156">
        <v>87951</v>
      </c>
      <c r="M156">
        <f t="shared" si="16"/>
        <v>1.75902E-3</v>
      </c>
      <c r="O156">
        <v>8687652</v>
      </c>
      <c r="P156">
        <v>59969536</v>
      </c>
      <c r="Q156" s="1" t="s">
        <v>465</v>
      </c>
      <c r="S156">
        <f t="shared" si="13"/>
        <v>0</v>
      </c>
      <c r="T156">
        <f t="shared" si="14"/>
        <v>44</v>
      </c>
    </row>
    <row r="157" spans="1:20" x14ac:dyDescent="0.3">
      <c r="A157" t="s">
        <v>67</v>
      </c>
      <c r="B157">
        <v>30</v>
      </c>
      <c r="C157" t="s">
        <v>87</v>
      </c>
      <c r="D157">
        <v>127</v>
      </c>
      <c r="E157">
        <f t="shared" si="15"/>
        <v>20</v>
      </c>
      <c r="F157" t="s">
        <v>11</v>
      </c>
      <c r="J157">
        <v>64951</v>
      </c>
      <c r="M157">
        <f t="shared" si="16"/>
        <v>1.2990200000000001E-3</v>
      </c>
      <c r="O157">
        <v>7198656</v>
      </c>
      <c r="P157">
        <v>59588608</v>
      </c>
      <c r="Q157" s="1" t="s">
        <v>580</v>
      </c>
      <c r="S157">
        <f t="shared" si="13"/>
        <v>0</v>
      </c>
      <c r="T157">
        <f t="shared" si="14"/>
        <v>0</v>
      </c>
    </row>
    <row r="158" spans="1:20" x14ac:dyDescent="0.3">
      <c r="A158" t="s">
        <v>67</v>
      </c>
      <c r="B158">
        <v>31</v>
      </c>
      <c r="C158" t="s">
        <v>86</v>
      </c>
      <c r="D158">
        <v>20</v>
      </c>
      <c r="E158">
        <f t="shared" si="15"/>
        <v>20</v>
      </c>
      <c r="F158" t="s">
        <v>15</v>
      </c>
      <c r="J158">
        <v>44114</v>
      </c>
      <c r="M158">
        <f t="shared" si="16"/>
        <v>8.8228000000000004E-4</v>
      </c>
      <c r="O158">
        <v>7198659</v>
      </c>
      <c r="P158">
        <v>59695104</v>
      </c>
      <c r="Q158" s="1" t="s">
        <v>581</v>
      </c>
      <c r="S158">
        <f t="shared" si="13"/>
        <v>0</v>
      </c>
      <c r="T158">
        <f t="shared" si="14"/>
        <v>0</v>
      </c>
    </row>
    <row r="159" spans="1:20" x14ac:dyDescent="0.3">
      <c r="A159" t="s">
        <v>67</v>
      </c>
      <c r="B159">
        <v>31</v>
      </c>
      <c r="C159" t="s">
        <v>86</v>
      </c>
      <c r="D159">
        <v>37</v>
      </c>
      <c r="E159">
        <f t="shared" si="15"/>
        <v>17</v>
      </c>
      <c r="F159" t="s">
        <v>14</v>
      </c>
      <c r="J159">
        <v>184446</v>
      </c>
      <c r="M159">
        <f t="shared" si="16"/>
        <v>3.68892E-3</v>
      </c>
      <c r="O159">
        <v>7198660</v>
      </c>
      <c r="P159">
        <v>60592128</v>
      </c>
      <c r="Q159" s="1" t="s">
        <v>466</v>
      </c>
      <c r="S159">
        <f t="shared" si="13"/>
        <v>17</v>
      </c>
      <c r="T159">
        <f t="shared" si="14"/>
        <v>0</v>
      </c>
    </row>
    <row r="160" spans="1:20" x14ac:dyDescent="0.3">
      <c r="A160" t="s">
        <v>67</v>
      </c>
      <c r="B160">
        <v>31</v>
      </c>
      <c r="C160" t="s">
        <v>86</v>
      </c>
      <c r="D160">
        <v>86</v>
      </c>
      <c r="E160">
        <f t="shared" si="15"/>
        <v>49</v>
      </c>
      <c r="F160" t="s">
        <v>13</v>
      </c>
      <c r="J160">
        <v>152319</v>
      </c>
      <c r="M160">
        <f t="shared" si="16"/>
        <v>3.04638E-3</v>
      </c>
      <c r="O160">
        <v>8687662</v>
      </c>
      <c r="P160">
        <v>60121088</v>
      </c>
      <c r="Q160" s="1" t="s">
        <v>467</v>
      </c>
      <c r="S160">
        <f t="shared" si="13"/>
        <v>0</v>
      </c>
      <c r="T160">
        <f t="shared" si="14"/>
        <v>0</v>
      </c>
    </row>
    <row r="161" spans="1:20" x14ac:dyDescent="0.3">
      <c r="A161" t="s">
        <v>67</v>
      </c>
      <c r="B161">
        <v>31</v>
      </c>
      <c r="C161" t="s">
        <v>86</v>
      </c>
      <c r="D161">
        <v>104</v>
      </c>
      <c r="E161">
        <f t="shared" si="15"/>
        <v>18</v>
      </c>
      <c r="F161" t="s">
        <v>12</v>
      </c>
      <c r="J161">
        <v>87951</v>
      </c>
      <c r="M161">
        <f t="shared" si="16"/>
        <v>1.75902E-3</v>
      </c>
      <c r="O161">
        <v>8687664</v>
      </c>
      <c r="P161">
        <v>59957248</v>
      </c>
      <c r="Q161" s="1" t="s">
        <v>468</v>
      </c>
      <c r="S161">
        <f t="shared" si="13"/>
        <v>0</v>
      </c>
      <c r="T161">
        <f t="shared" si="14"/>
        <v>18</v>
      </c>
    </row>
    <row r="162" spans="1:20" x14ac:dyDescent="0.3">
      <c r="A162" t="s">
        <v>67</v>
      </c>
      <c r="B162">
        <v>31</v>
      </c>
      <c r="C162" t="s">
        <v>86</v>
      </c>
      <c r="D162">
        <v>124</v>
      </c>
      <c r="E162">
        <f t="shared" si="15"/>
        <v>20</v>
      </c>
      <c r="F162" t="s">
        <v>11</v>
      </c>
      <c r="J162">
        <v>64951</v>
      </c>
      <c r="M162">
        <f t="shared" si="16"/>
        <v>1.2990200000000001E-3</v>
      </c>
      <c r="O162">
        <v>7198666</v>
      </c>
      <c r="P162">
        <v>59686912</v>
      </c>
      <c r="Q162" s="1" t="s">
        <v>582</v>
      </c>
      <c r="S162">
        <f t="shared" si="13"/>
        <v>0</v>
      </c>
      <c r="T162">
        <f t="shared" si="14"/>
        <v>0</v>
      </c>
    </row>
    <row r="163" spans="1:20" x14ac:dyDescent="0.3">
      <c r="A163" t="s">
        <v>67</v>
      </c>
      <c r="B163">
        <v>32</v>
      </c>
      <c r="C163" t="s">
        <v>85</v>
      </c>
      <c r="D163">
        <v>26</v>
      </c>
      <c r="E163">
        <f t="shared" si="15"/>
        <v>26</v>
      </c>
      <c r="F163" t="s">
        <v>15</v>
      </c>
      <c r="J163">
        <v>44114</v>
      </c>
      <c r="M163">
        <f t="shared" si="16"/>
        <v>8.8228000000000004E-4</v>
      </c>
      <c r="O163">
        <v>7198669</v>
      </c>
      <c r="P163">
        <v>60719104</v>
      </c>
      <c r="Q163" s="1" t="s">
        <v>583</v>
      </c>
      <c r="S163">
        <f t="shared" ref="S163:S195" si="17">IF(F163="exitTransaction",E163,0)</f>
        <v>0</v>
      </c>
      <c r="T163">
        <f t="shared" ref="T163:T195" si="18">IF(F163="entryTransaction",E163,0)</f>
        <v>0</v>
      </c>
    </row>
    <row r="164" spans="1:20" x14ac:dyDescent="0.3">
      <c r="A164" t="s">
        <v>67</v>
      </c>
      <c r="B164">
        <v>32</v>
      </c>
      <c r="C164" t="s">
        <v>85</v>
      </c>
      <c r="D164">
        <v>38</v>
      </c>
      <c r="E164">
        <f t="shared" si="15"/>
        <v>12</v>
      </c>
      <c r="F164" t="s">
        <v>14</v>
      </c>
      <c r="J164">
        <v>184434</v>
      </c>
      <c r="M164">
        <f t="shared" si="16"/>
        <v>3.6886800000000002E-3</v>
      </c>
      <c r="O164">
        <v>7198670</v>
      </c>
      <c r="P164">
        <v>60436480</v>
      </c>
      <c r="Q164" s="1" t="s">
        <v>469</v>
      </c>
      <c r="S164">
        <f t="shared" si="17"/>
        <v>12</v>
      </c>
      <c r="T164">
        <f t="shared" si="18"/>
        <v>0</v>
      </c>
    </row>
    <row r="165" spans="1:20" x14ac:dyDescent="0.3">
      <c r="A165" t="s">
        <v>67</v>
      </c>
      <c r="B165">
        <v>32</v>
      </c>
      <c r="C165" t="s">
        <v>85</v>
      </c>
      <c r="D165">
        <v>59</v>
      </c>
      <c r="E165">
        <f t="shared" si="15"/>
        <v>21</v>
      </c>
      <c r="F165" t="s">
        <v>13</v>
      </c>
      <c r="J165">
        <v>152307</v>
      </c>
      <c r="M165">
        <f t="shared" si="16"/>
        <v>3.0461400000000001E-3</v>
      </c>
      <c r="O165">
        <v>8687676</v>
      </c>
      <c r="P165">
        <v>60137472</v>
      </c>
      <c r="Q165" s="1" t="s">
        <v>470</v>
      </c>
      <c r="S165">
        <f t="shared" si="17"/>
        <v>0</v>
      </c>
      <c r="T165">
        <f t="shared" si="18"/>
        <v>0</v>
      </c>
    </row>
    <row r="166" spans="1:20" x14ac:dyDescent="0.3">
      <c r="A166" t="s">
        <v>67</v>
      </c>
      <c r="B166">
        <v>32</v>
      </c>
      <c r="C166" t="s">
        <v>85</v>
      </c>
      <c r="D166">
        <v>90</v>
      </c>
      <c r="E166">
        <f t="shared" si="15"/>
        <v>31</v>
      </c>
      <c r="F166" t="s">
        <v>12</v>
      </c>
      <c r="J166">
        <v>87951</v>
      </c>
      <c r="M166">
        <f t="shared" si="16"/>
        <v>1.75902E-3</v>
      </c>
      <c r="O166">
        <v>8687681</v>
      </c>
      <c r="P166">
        <v>60424192</v>
      </c>
      <c r="Q166" s="1" t="s">
        <v>471</v>
      </c>
      <c r="S166">
        <f t="shared" si="17"/>
        <v>0</v>
      </c>
      <c r="T166">
        <f t="shared" si="18"/>
        <v>31</v>
      </c>
    </row>
    <row r="167" spans="1:20" x14ac:dyDescent="0.3">
      <c r="A167" t="s">
        <v>67</v>
      </c>
      <c r="B167">
        <v>32</v>
      </c>
      <c r="C167" t="s">
        <v>85</v>
      </c>
      <c r="D167">
        <v>116</v>
      </c>
      <c r="E167">
        <f t="shared" si="15"/>
        <v>26</v>
      </c>
      <c r="F167" t="s">
        <v>11</v>
      </c>
      <c r="J167">
        <v>64951</v>
      </c>
      <c r="M167">
        <f t="shared" si="16"/>
        <v>1.2990200000000001E-3</v>
      </c>
      <c r="O167">
        <v>7198675</v>
      </c>
      <c r="P167">
        <v>60317696</v>
      </c>
      <c r="Q167" s="1" t="s">
        <v>584</v>
      </c>
      <c r="S167">
        <f t="shared" si="17"/>
        <v>0</v>
      </c>
      <c r="T167">
        <f t="shared" si="18"/>
        <v>0</v>
      </c>
    </row>
    <row r="168" spans="1:20" x14ac:dyDescent="0.3">
      <c r="A168" t="s">
        <v>67</v>
      </c>
      <c r="B168">
        <v>33</v>
      </c>
      <c r="C168" t="s">
        <v>84</v>
      </c>
      <c r="D168">
        <v>20</v>
      </c>
      <c r="E168">
        <f t="shared" si="15"/>
        <v>20</v>
      </c>
      <c r="F168" t="s">
        <v>15</v>
      </c>
      <c r="J168">
        <v>44114</v>
      </c>
      <c r="M168">
        <f t="shared" si="16"/>
        <v>8.8228000000000004E-4</v>
      </c>
      <c r="O168">
        <v>7198678</v>
      </c>
      <c r="P168">
        <v>61022208</v>
      </c>
      <c r="Q168" s="1" t="s">
        <v>585</v>
      </c>
      <c r="S168">
        <f t="shared" si="17"/>
        <v>0</v>
      </c>
      <c r="T168">
        <f t="shared" si="18"/>
        <v>0</v>
      </c>
    </row>
    <row r="169" spans="1:20" x14ac:dyDescent="0.3">
      <c r="A169" t="s">
        <v>67</v>
      </c>
      <c r="B169">
        <v>33</v>
      </c>
      <c r="C169" t="s">
        <v>84</v>
      </c>
      <c r="D169">
        <v>32</v>
      </c>
      <c r="E169">
        <f t="shared" si="15"/>
        <v>12</v>
      </c>
      <c r="F169" t="s">
        <v>14</v>
      </c>
      <c r="J169">
        <v>184446</v>
      </c>
      <c r="M169">
        <f t="shared" si="16"/>
        <v>3.68892E-3</v>
      </c>
      <c r="O169">
        <v>7198679</v>
      </c>
      <c r="P169">
        <v>60211200</v>
      </c>
      <c r="Q169" s="1" t="s">
        <v>472</v>
      </c>
      <c r="S169">
        <f t="shared" si="17"/>
        <v>12</v>
      </c>
      <c r="T169">
        <f t="shared" si="18"/>
        <v>0</v>
      </c>
    </row>
    <row r="170" spans="1:20" x14ac:dyDescent="0.3">
      <c r="A170" t="s">
        <v>67</v>
      </c>
      <c r="B170">
        <v>33</v>
      </c>
      <c r="C170" t="s">
        <v>84</v>
      </c>
      <c r="D170">
        <v>65</v>
      </c>
      <c r="E170">
        <f t="shared" si="15"/>
        <v>33</v>
      </c>
      <c r="F170" t="s">
        <v>13</v>
      </c>
      <c r="J170">
        <v>152319</v>
      </c>
      <c r="M170">
        <f t="shared" si="16"/>
        <v>3.04638E-3</v>
      </c>
      <c r="O170">
        <v>8687694</v>
      </c>
      <c r="P170">
        <v>60510208</v>
      </c>
      <c r="Q170" s="1" t="s">
        <v>473</v>
      </c>
      <c r="S170">
        <f t="shared" si="17"/>
        <v>0</v>
      </c>
      <c r="T170">
        <f t="shared" si="18"/>
        <v>0</v>
      </c>
    </row>
    <row r="171" spans="1:20" x14ac:dyDescent="0.3">
      <c r="A171" t="s">
        <v>67</v>
      </c>
      <c r="B171">
        <v>33</v>
      </c>
      <c r="C171" t="s">
        <v>84</v>
      </c>
      <c r="D171">
        <v>181</v>
      </c>
      <c r="E171">
        <f t="shared" si="15"/>
        <v>116</v>
      </c>
      <c r="F171" t="s">
        <v>12</v>
      </c>
      <c r="J171">
        <v>87951</v>
      </c>
      <c r="M171">
        <f t="shared" si="16"/>
        <v>1.75902E-3</v>
      </c>
      <c r="O171">
        <v>8687705</v>
      </c>
      <c r="P171">
        <v>60936192</v>
      </c>
      <c r="Q171" s="1" t="s">
        <v>474</v>
      </c>
      <c r="S171">
        <f t="shared" si="17"/>
        <v>0</v>
      </c>
      <c r="T171">
        <f t="shared" si="18"/>
        <v>116</v>
      </c>
    </row>
    <row r="172" spans="1:20" x14ac:dyDescent="0.3">
      <c r="A172" t="s">
        <v>67</v>
      </c>
      <c r="B172">
        <v>33</v>
      </c>
      <c r="C172" t="s">
        <v>84</v>
      </c>
      <c r="D172">
        <v>246</v>
      </c>
      <c r="E172">
        <f t="shared" si="15"/>
        <v>65</v>
      </c>
      <c r="F172" t="s">
        <v>11</v>
      </c>
      <c r="J172">
        <v>64951</v>
      </c>
      <c r="M172">
        <f t="shared" si="16"/>
        <v>1.2990200000000001E-3</v>
      </c>
      <c r="O172">
        <v>7198693</v>
      </c>
      <c r="P172">
        <v>59768832</v>
      </c>
      <c r="Q172" s="1" t="s">
        <v>586</v>
      </c>
      <c r="S172">
        <f t="shared" si="17"/>
        <v>0</v>
      </c>
      <c r="T172">
        <f t="shared" si="18"/>
        <v>0</v>
      </c>
    </row>
    <row r="173" spans="1:20" x14ac:dyDescent="0.3">
      <c r="A173" t="s">
        <v>67</v>
      </c>
      <c r="B173">
        <v>34</v>
      </c>
      <c r="C173" t="s">
        <v>83</v>
      </c>
      <c r="D173">
        <v>20</v>
      </c>
      <c r="E173">
        <f t="shared" si="15"/>
        <v>20</v>
      </c>
      <c r="F173" t="s">
        <v>15</v>
      </c>
      <c r="J173">
        <v>44114</v>
      </c>
      <c r="M173">
        <f t="shared" si="16"/>
        <v>8.8228000000000004E-4</v>
      </c>
      <c r="O173">
        <v>7198696</v>
      </c>
      <c r="P173">
        <v>59887616</v>
      </c>
      <c r="Q173" s="1" t="s">
        <v>587</v>
      </c>
      <c r="S173">
        <f t="shared" si="17"/>
        <v>0</v>
      </c>
      <c r="T173">
        <f t="shared" si="18"/>
        <v>0</v>
      </c>
    </row>
    <row r="174" spans="1:20" x14ac:dyDescent="0.3">
      <c r="A174" t="s">
        <v>67</v>
      </c>
      <c r="B174">
        <v>34</v>
      </c>
      <c r="C174" t="s">
        <v>83</v>
      </c>
      <c r="D174">
        <v>37</v>
      </c>
      <c r="E174">
        <f t="shared" si="15"/>
        <v>17</v>
      </c>
      <c r="F174" t="s">
        <v>14</v>
      </c>
      <c r="J174">
        <v>184446</v>
      </c>
      <c r="M174">
        <f t="shared" si="16"/>
        <v>3.68892E-3</v>
      </c>
      <c r="O174">
        <v>7198697</v>
      </c>
      <c r="P174">
        <v>59363328</v>
      </c>
      <c r="Q174" s="1" t="s">
        <v>475</v>
      </c>
      <c r="S174">
        <f t="shared" si="17"/>
        <v>17</v>
      </c>
      <c r="T174">
        <f t="shared" si="18"/>
        <v>0</v>
      </c>
    </row>
    <row r="175" spans="1:20" x14ac:dyDescent="0.3">
      <c r="A175" t="s">
        <v>67</v>
      </c>
      <c r="B175">
        <v>34</v>
      </c>
      <c r="C175" t="s">
        <v>83</v>
      </c>
      <c r="D175">
        <v>59</v>
      </c>
      <c r="E175">
        <f t="shared" si="15"/>
        <v>22</v>
      </c>
      <c r="F175" t="s">
        <v>13</v>
      </c>
      <c r="J175">
        <v>152307</v>
      </c>
      <c r="M175">
        <f t="shared" si="16"/>
        <v>3.0461400000000001E-3</v>
      </c>
      <c r="O175">
        <v>8687715</v>
      </c>
      <c r="P175">
        <v>60493824</v>
      </c>
      <c r="Q175" s="1" t="s">
        <v>476</v>
      </c>
      <c r="S175">
        <f t="shared" si="17"/>
        <v>0</v>
      </c>
      <c r="T175">
        <f t="shared" si="18"/>
        <v>0</v>
      </c>
    </row>
    <row r="176" spans="1:20" x14ac:dyDescent="0.3">
      <c r="A176" t="s">
        <v>67</v>
      </c>
      <c r="B176">
        <v>34</v>
      </c>
      <c r="C176" t="s">
        <v>83</v>
      </c>
      <c r="D176">
        <v>97</v>
      </c>
      <c r="E176">
        <f t="shared" si="15"/>
        <v>38</v>
      </c>
      <c r="F176" t="s">
        <v>12</v>
      </c>
      <c r="J176">
        <v>87939</v>
      </c>
      <c r="M176">
        <f t="shared" si="16"/>
        <v>1.7587799999999999E-3</v>
      </c>
      <c r="O176">
        <v>8687718</v>
      </c>
      <c r="P176">
        <v>60715008</v>
      </c>
      <c r="Q176" s="1" t="s">
        <v>477</v>
      </c>
      <c r="S176">
        <f t="shared" si="17"/>
        <v>0</v>
      </c>
      <c r="T176">
        <f t="shared" si="18"/>
        <v>38</v>
      </c>
    </row>
    <row r="177" spans="1:20" x14ac:dyDescent="0.3">
      <c r="A177" t="s">
        <v>67</v>
      </c>
      <c r="B177">
        <v>34</v>
      </c>
      <c r="C177" t="s">
        <v>83</v>
      </c>
      <c r="D177">
        <v>113</v>
      </c>
      <c r="E177">
        <f t="shared" si="15"/>
        <v>16</v>
      </c>
      <c r="F177" t="s">
        <v>11</v>
      </c>
      <c r="J177">
        <v>64939</v>
      </c>
      <c r="M177">
        <f t="shared" si="16"/>
        <v>1.29878E-3</v>
      </c>
      <c r="O177">
        <v>7198702</v>
      </c>
      <c r="P177">
        <v>60289024</v>
      </c>
      <c r="Q177" s="1" t="s">
        <v>588</v>
      </c>
      <c r="S177">
        <f t="shared" si="17"/>
        <v>0</v>
      </c>
      <c r="T177">
        <f t="shared" si="18"/>
        <v>0</v>
      </c>
    </row>
    <row r="178" spans="1:20" x14ac:dyDescent="0.3">
      <c r="A178" t="s">
        <v>67</v>
      </c>
      <c r="B178">
        <v>35</v>
      </c>
      <c r="C178" t="s">
        <v>82</v>
      </c>
      <c r="D178">
        <v>20</v>
      </c>
      <c r="E178">
        <f t="shared" si="15"/>
        <v>20</v>
      </c>
      <c r="F178" t="s">
        <v>15</v>
      </c>
      <c r="J178">
        <v>44114</v>
      </c>
      <c r="M178">
        <f t="shared" si="16"/>
        <v>8.8228000000000004E-4</v>
      </c>
      <c r="O178">
        <v>7198705</v>
      </c>
      <c r="P178">
        <v>60444672</v>
      </c>
      <c r="Q178" s="1" t="s">
        <v>589</v>
      </c>
      <c r="S178">
        <f t="shared" si="17"/>
        <v>0</v>
      </c>
      <c r="T178">
        <f t="shared" si="18"/>
        <v>0</v>
      </c>
    </row>
    <row r="179" spans="1:20" x14ac:dyDescent="0.3">
      <c r="A179" t="s">
        <v>67</v>
      </c>
      <c r="B179">
        <v>35</v>
      </c>
      <c r="C179" t="s">
        <v>82</v>
      </c>
      <c r="D179">
        <v>36</v>
      </c>
      <c r="E179">
        <f t="shared" si="15"/>
        <v>16</v>
      </c>
      <c r="F179" t="s">
        <v>14</v>
      </c>
      <c r="J179">
        <v>184446</v>
      </c>
      <c r="M179">
        <f t="shared" si="16"/>
        <v>3.68892E-3</v>
      </c>
      <c r="O179">
        <v>7198706</v>
      </c>
      <c r="P179">
        <v>60547072</v>
      </c>
      <c r="Q179" s="1" t="s">
        <v>478</v>
      </c>
      <c r="S179">
        <f t="shared" si="17"/>
        <v>16</v>
      </c>
      <c r="T179">
        <f t="shared" si="18"/>
        <v>0</v>
      </c>
    </row>
    <row r="180" spans="1:20" x14ac:dyDescent="0.3">
      <c r="A180" t="s">
        <v>67</v>
      </c>
      <c r="B180">
        <v>35</v>
      </c>
      <c r="C180" t="s">
        <v>82</v>
      </c>
      <c r="D180">
        <v>66</v>
      </c>
      <c r="E180">
        <f t="shared" si="15"/>
        <v>30</v>
      </c>
      <c r="F180" t="s">
        <v>13</v>
      </c>
      <c r="J180">
        <v>152307</v>
      </c>
      <c r="M180">
        <f t="shared" si="16"/>
        <v>3.0461400000000001E-3</v>
      </c>
      <c r="O180">
        <v>8687726</v>
      </c>
      <c r="P180">
        <v>59990016</v>
      </c>
      <c r="Q180" s="1" t="s">
        <v>479</v>
      </c>
      <c r="S180">
        <f t="shared" si="17"/>
        <v>0</v>
      </c>
      <c r="T180">
        <f t="shared" si="18"/>
        <v>0</v>
      </c>
    </row>
    <row r="181" spans="1:20" x14ac:dyDescent="0.3">
      <c r="A181" t="s">
        <v>67</v>
      </c>
      <c r="B181">
        <v>35</v>
      </c>
      <c r="C181" t="s">
        <v>82</v>
      </c>
      <c r="D181">
        <v>90</v>
      </c>
      <c r="E181">
        <f t="shared" si="15"/>
        <v>24</v>
      </c>
      <c r="F181" t="s">
        <v>12</v>
      </c>
      <c r="J181">
        <v>87939</v>
      </c>
      <c r="M181">
        <f t="shared" si="16"/>
        <v>1.7587799999999999E-3</v>
      </c>
      <c r="O181">
        <v>8687729</v>
      </c>
      <c r="P181">
        <v>60342272</v>
      </c>
      <c r="Q181" s="1" t="s">
        <v>480</v>
      </c>
      <c r="S181">
        <f t="shared" si="17"/>
        <v>0</v>
      </c>
      <c r="T181">
        <f t="shared" si="18"/>
        <v>24</v>
      </c>
    </row>
    <row r="182" spans="1:20" x14ac:dyDescent="0.3">
      <c r="A182" t="s">
        <v>67</v>
      </c>
      <c r="B182">
        <v>35</v>
      </c>
      <c r="C182" t="s">
        <v>82</v>
      </c>
      <c r="D182">
        <v>95</v>
      </c>
      <c r="E182">
        <f t="shared" si="15"/>
        <v>5</v>
      </c>
      <c r="F182" t="s">
        <v>11</v>
      </c>
      <c r="J182">
        <v>64939</v>
      </c>
      <c r="M182">
        <f t="shared" si="16"/>
        <v>1.29878E-3</v>
      </c>
      <c r="O182">
        <v>7198710</v>
      </c>
      <c r="P182">
        <v>60084224</v>
      </c>
      <c r="Q182" s="1" t="s">
        <v>590</v>
      </c>
      <c r="S182">
        <f t="shared" si="17"/>
        <v>0</v>
      </c>
      <c r="T182">
        <f t="shared" si="18"/>
        <v>0</v>
      </c>
    </row>
    <row r="183" spans="1:20" x14ac:dyDescent="0.3">
      <c r="A183" t="s">
        <v>67</v>
      </c>
      <c r="B183">
        <v>36</v>
      </c>
      <c r="C183" t="s">
        <v>81</v>
      </c>
      <c r="D183">
        <v>24</v>
      </c>
      <c r="E183">
        <f t="shared" si="15"/>
        <v>24</v>
      </c>
      <c r="F183" t="s">
        <v>15</v>
      </c>
      <c r="J183">
        <v>44114</v>
      </c>
      <c r="M183">
        <f t="shared" si="16"/>
        <v>8.8228000000000004E-4</v>
      </c>
      <c r="O183">
        <v>7198713</v>
      </c>
      <c r="P183">
        <v>60559360</v>
      </c>
      <c r="Q183" s="1" t="s">
        <v>591</v>
      </c>
      <c r="S183">
        <f t="shared" si="17"/>
        <v>0</v>
      </c>
      <c r="T183">
        <f t="shared" si="18"/>
        <v>0</v>
      </c>
    </row>
    <row r="184" spans="1:20" x14ac:dyDescent="0.3">
      <c r="A184" t="s">
        <v>67</v>
      </c>
      <c r="B184">
        <v>36</v>
      </c>
      <c r="C184" t="s">
        <v>81</v>
      </c>
      <c r="D184">
        <v>40</v>
      </c>
      <c r="E184">
        <f t="shared" si="15"/>
        <v>16</v>
      </c>
      <c r="F184" t="s">
        <v>14</v>
      </c>
      <c r="J184">
        <v>184446</v>
      </c>
      <c r="M184">
        <f t="shared" si="16"/>
        <v>3.68892E-3</v>
      </c>
      <c r="O184">
        <v>7198714</v>
      </c>
      <c r="P184">
        <v>60583936</v>
      </c>
      <c r="Q184" s="1" t="s">
        <v>481</v>
      </c>
      <c r="S184">
        <f t="shared" si="17"/>
        <v>16</v>
      </c>
      <c r="T184">
        <f t="shared" si="18"/>
        <v>0</v>
      </c>
    </row>
    <row r="185" spans="1:20" x14ac:dyDescent="0.3">
      <c r="A185" t="s">
        <v>67</v>
      </c>
      <c r="B185">
        <v>36</v>
      </c>
      <c r="C185" t="s">
        <v>81</v>
      </c>
      <c r="D185">
        <v>66</v>
      </c>
      <c r="E185">
        <f t="shared" si="15"/>
        <v>26</v>
      </c>
      <c r="F185" t="s">
        <v>13</v>
      </c>
      <c r="J185">
        <v>152319</v>
      </c>
      <c r="M185">
        <f t="shared" si="16"/>
        <v>3.04638E-3</v>
      </c>
      <c r="O185">
        <v>8687742</v>
      </c>
      <c r="P185">
        <v>60313600</v>
      </c>
      <c r="Q185" s="1" t="s">
        <v>482</v>
      </c>
      <c r="S185">
        <f t="shared" si="17"/>
        <v>0</v>
      </c>
      <c r="T185">
        <f t="shared" si="18"/>
        <v>0</v>
      </c>
    </row>
    <row r="186" spans="1:20" x14ac:dyDescent="0.3">
      <c r="A186" t="s">
        <v>67</v>
      </c>
      <c r="B186">
        <v>36</v>
      </c>
      <c r="C186" t="s">
        <v>81</v>
      </c>
      <c r="D186">
        <v>97</v>
      </c>
      <c r="E186">
        <f t="shared" si="15"/>
        <v>31</v>
      </c>
      <c r="F186" t="s">
        <v>12</v>
      </c>
      <c r="J186">
        <v>87951</v>
      </c>
      <c r="M186">
        <f t="shared" si="16"/>
        <v>1.75902E-3</v>
      </c>
      <c r="O186">
        <v>8687744</v>
      </c>
      <c r="P186">
        <v>60293120</v>
      </c>
      <c r="Q186" s="1" t="s">
        <v>483</v>
      </c>
      <c r="S186">
        <f t="shared" si="17"/>
        <v>0</v>
      </c>
      <c r="T186">
        <f t="shared" si="18"/>
        <v>31</v>
      </c>
    </row>
    <row r="187" spans="1:20" x14ac:dyDescent="0.3">
      <c r="A187" t="s">
        <v>67</v>
      </c>
      <c r="B187">
        <v>36</v>
      </c>
      <c r="C187" t="s">
        <v>81</v>
      </c>
      <c r="D187">
        <v>113</v>
      </c>
      <c r="E187">
        <f t="shared" si="15"/>
        <v>16</v>
      </c>
      <c r="F187" t="s">
        <v>11</v>
      </c>
      <c r="J187">
        <v>64951</v>
      </c>
      <c r="M187">
        <f t="shared" si="16"/>
        <v>1.2990200000000001E-3</v>
      </c>
      <c r="O187">
        <v>7198719</v>
      </c>
      <c r="P187">
        <v>60399616</v>
      </c>
      <c r="Q187" s="1" t="s">
        <v>592</v>
      </c>
      <c r="S187">
        <f t="shared" si="17"/>
        <v>0</v>
      </c>
      <c r="T187">
        <f t="shared" si="18"/>
        <v>0</v>
      </c>
    </row>
    <row r="188" spans="1:20" x14ac:dyDescent="0.3">
      <c r="A188" t="s">
        <v>67</v>
      </c>
      <c r="B188">
        <v>37</v>
      </c>
      <c r="C188" t="s">
        <v>80</v>
      </c>
      <c r="D188">
        <v>22</v>
      </c>
      <c r="E188">
        <f t="shared" si="15"/>
        <v>22</v>
      </c>
      <c r="F188" t="s">
        <v>15</v>
      </c>
      <c r="J188">
        <v>44114</v>
      </c>
      <c r="M188">
        <f t="shared" si="16"/>
        <v>8.8228000000000004E-4</v>
      </c>
      <c r="O188">
        <v>7198722</v>
      </c>
      <c r="P188">
        <v>60960768</v>
      </c>
      <c r="Q188" s="1" t="s">
        <v>593</v>
      </c>
      <c r="S188">
        <f t="shared" si="17"/>
        <v>0</v>
      </c>
      <c r="T188">
        <f t="shared" si="18"/>
        <v>0</v>
      </c>
    </row>
    <row r="189" spans="1:20" x14ac:dyDescent="0.3">
      <c r="A189" t="s">
        <v>67</v>
      </c>
      <c r="B189">
        <v>37</v>
      </c>
      <c r="C189" t="s">
        <v>80</v>
      </c>
      <c r="D189">
        <v>38</v>
      </c>
      <c r="E189">
        <f t="shared" si="15"/>
        <v>16</v>
      </c>
      <c r="F189" t="s">
        <v>14</v>
      </c>
      <c r="J189">
        <v>184446</v>
      </c>
      <c r="M189">
        <f t="shared" si="16"/>
        <v>3.68892E-3</v>
      </c>
      <c r="O189">
        <v>7198723</v>
      </c>
      <c r="P189">
        <v>60727296</v>
      </c>
      <c r="Q189" s="1" t="s">
        <v>484</v>
      </c>
      <c r="S189">
        <f t="shared" si="17"/>
        <v>16</v>
      </c>
      <c r="T189">
        <f t="shared" si="18"/>
        <v>0</v>
      </c>
    </row>
    <row r="190" spans="1:20" x14ac:dyDescent="0.3">
      <c r="A190" t="s">
        <v>67</v>
      </c>
      <c r="B190">
        <v>37</v>
      </c>
      <c r="C190" t="s">
        <v>80</v>
      </c>
      <c r="D190">
        <v>62</v>
      </c>
      <c r="E190">
        <f t="shared" si="15"/>
        <v>24</v>
      </c>
      <c r="F190" t="s">
        <v>13</v>
      </c>
      <c r="J190">
        <v>152307</v>
      </c>
      <c r="M190">
        <f t="shared" si="16"/>
        <v>3.0461400000000001E-3</v>
      </c>
      <c r="O190">
        <v>8687757</v>
      </c>
      <c r="P190">
        <v>60645376</v>
      </c>
      <c r="Q190" s="1" t="s">
        <v>485</v>
      </c>
      <c r="S190">
        <f t="shared" si="17"/>
        <v>0</v>
      </c>
      <c r="T190">
        <f t="shared" si="18"/>
        <v>0</v>
      </c>
    </row>
    <row r="191" spans="1:20" x14ac:dyDescent="0.3">
      <c r="A191" t="s">
        <v>67</v>
      </c>
      <c r="B191">
        <v>37</v>
      </c>
      <c r="C191" t="s">
        <v>80</v>
      </c>
      <c r="D191">
        <v>103</v>
      </c>
      <c r="E191">
        <f t="shared" si="15"/>
        <v>41</v>
      </c>
      <c r="F191" t="s">
        <v>12</v>
      </c>
      <c r="J191">
        <v>87939</v>
      </c>
      <c r="M191">
        <f t="shared" si="16"/>
        <v>1.7587799999999999E-3</v>
      </c>
      <c r="O191">
        <v>8687761</v>
      </c>
      <c r="P191">
        <v>60489728</v>
      </c>
      <c r="Q191" s="1" t="s">
        <v>486</v>
      </c>
      <c r="S191">
        <f t="shared" si="17"/>
        <v>0</v>
      </c>
      <c r="T191">
        <f t="shared" si="18"/>
        <v>41</v>
      </c>
    </row>
    <row r="192" spans="1:20" x14ac:dyDescent="0.3">
      <c r="A192" t="s">
        <v>67</v>
      </c>
      <c r="B192">
        <v>37</v>
      </c>
      <c r="C192" t="s">
        <v>80</v>
      </c>
      <c r="D192">
        <v>129</v>
      </c>
      <c r="E192">
        <f t="shared" si="15"/>
        <v>26</v>
      </c>
      <c r="F192" t="s">
        <v>11</v>
      </c>
      <c r="J192">
        <v>64939</v>
      </c>
      <c r="M192">
        <f t="shared" si="16"/>
        <v>1.29878E-3</v>
      </c>
      <c r="O192">
        <v>7198729</v>
      </c>
      <c r="P192">
        <v>60297216</v>
      </c>
      <c r="Q192" s="1" t="s">
        <v>594</v>
      </c>
      <c r="S192">
        <f t="shared" si="17"/>
        <v>0</v>
      </c>
      <c r="T192">
        <f t="shared" si="18"/>
        <v>0</v>
      </c>
    </row>
    <row r="193" spans="1:20" x14ac:dyDescent="0.3">
      <c r="A193" t="s">
        <v>67</v>
      </c>
      <c r="B193">
        <v>38</v>
      </c>
      <c r="C193" t="s">
        <v>79</v>
      </c>
      <c r="D193">
        <v>20</v>
      </c>
      <c r="E193">
        <f t="shared" si="15"/>
        <v>20</v>
      </c>
      <c r="F193" t="s">
        <v>15</v>
      </c>
      <c r="J193">
        <v>44114</v>
      </c>
      <c r="M193">
        <f t="shared" si="16"/>
        <v>8.8228000000000004E-4</v>
      </c>
      <c r="O193">
        <v>7198732</v>
      </c>
      <c r="P193">
        <v>57753600</v>
      </c>
      <c r="Q193" s="1" t="s">
        <v>595</v>
      </c>
      <c r="S193">
        <f t="shared" si="17"/>
        <v>0</v>
      </c>
      <c r="T193">
        <f t="shared" si="18"/>
        <v>0</v>
      </c>
    </row>
    <row r="194" spans="1:20" x14ac:dyDescent="0.3">
      <c r="A194" t="s">
        <v>67</v>
      </c>
      <c r="B194">
        <v>38</v>
      </c>
      <c r="C194" t="s">
        <v>79</v>
      </c>
      <c r="D194">
        <v>36</v>
      </c>
      <c r="E194">
        <f t="shared" si="15"/>
        <v>16</v>
      </c>
      <c r="F194" t="s">
        <v>14</v>
      </c>
      <c r="J194">
        <v>184446</v>
      </c>
      <c r="M194">
        <f t="shared" si="16"/>
        <v>3.68892E-3</v>
      </c>
      <c r="O194">
        <v>7198733</v>
      </c>
      <c r="P194">
        <v>57868288</v>
      </c>
      <c r="Q194" s="1" t="s">
        <v>487</v>
      </c>
      <c r="S194">
        <f t="shared" si="17"/>
        <v>16</v>
      </c>
      <c r="T194">
        <f t="shared" si="18"/>
        <v>0</v>
      </c>
    </row>
    <row r="195" spans="1:20" x14ac:dyDescent="0.3">
      <c r="A195" t="s">
        <v>67</v>
      </c>
      <c r="B195">
        <v>38</v>
      </c>
      <c r="C195" t="s">
        <v>79</v>
      </c>
      <c r="D195">
        <v>60</v>
      </c>
      <c r="E195">
        <f t="shared" si="15"/>
        <v>24</v>
      </c>
      <c r="F195" t="s">
        <v>13</v>
      </c>
      <c r="J195">
        <v>152319</v>
      </c>
      <c r="M195">
        <f t="shared" si="16"/>
        <v>3.04638E-3</v>
      </c>
      <c r="O195">
        <v>8687771</v>
      </c>
      <c r="P195">
        <v>57491456</v>
      </c>
      <c r="Q195" s="1" t="s">
        <v>488</v>
      </c>
      <c r="S195">
        <f t="shared" si="17"/>
        <v>0</v>
      </c>
      <c r="T195">
        <f t="shared" si="18"/>
        <v>0</v>
      </c>
    </row>
    <row r="196" spans="1:20" x14ac:dyDescent="0.3">
      <c r="A196" t="s">
        <v>67</v>
      </c>
      <c r="B196">
        <v>38</v>
      </c>
      <c r="C196" t="s">
        <v>79</v>
      </c>
      <c r="D196">
        <v>76</v>
      </c>
      <c r="E196">
        <f t="shared" ref="E196:E252" si="19">IF(B196&lt;&gt;B195,D196,D196-D195)</f>
        <v>16</v>
      </c>
      <c r="F196" t="s">
        <v>12</v>
      </c>
      <c r="J196">
        <v>87951</v>
      </c>
      <c r="M196">
        <f t="shared" ref="M196:M252" si="20">0.00000002*J196</f>
        <v>1.75902E-3</v>
      </c>
      <c r="O196">
        <v>8687774</v>
      </c>
      <c r="P196">
        <v>57520128</v>
      </c>
      <c r="Q196" s="1" t="s">
        <v>489</v>
      </c>
      <c r="S196">
        <f t="shared" ref="S196:S252" si="21">IF(F196="exitTransaction",E196,0)</f>
        <v>0</v>
      </c>
      <c r="T196">
        <f t="shared" ref="T196:T252" si="22">IF(F196="entryTransaction",E196,0)</f>
        <v>16</v>
      </c>
    </row>
    <row r="197" spans="1:20" x14ac:dyDescent="0.3">
      <c r="A197" t="s">
        <v>67</v>
      </c>
      <c r="B197">
        <v>38</v>
      </c>
      <c r="C197" t="s">
        <v>79</v>
      </c>
      <c r="D197">
        <v>97</v>
      </c>
      <c r="E197">
        <f t="shared" si="19"/>
        <v>21</v>
      </c>
      <c r="F197" t="s">
        <v>11</v>
      </c>
      <c r="J197">
        <v>64951</v>
      </c>
      <c r="M197">
        <f t="shared" si="20"/>
        <v>1.2990200000000001E-3</v>
      </c>
      <c r="O197">
        <v>7198737</v>
      </c>
      <c r="P197">
        <v>58085376</v>
      </c>
      <c r="Q197" s="1" t="s">
        <v>596</v>
      </c>
      <c r="S197">
        <f t="shared" si="21"/>
        <v>0</v>
      </c>
      <c r="T197">
        <f t="shared" si="22"/>
        <v>0</v>
      </c>
    </row>
    <row r="198" spans="1:20" x14ac:dyDescent="0.3">
      <c r="A198" t="s">
        <v>67</v>
      </c>
      <c r="B198">
        <v>39</v>
      </c>
      <c r="C198" t="s">
        <v>78</v>
      </c>
      <c r="D198">
        <v>24</v>
      </c>
      <c r="E198">
        <f t="shared" si="19"/>
        <v>24</v>
      </c>
      <c r="F198" t="s">
        <v>15</v>
      </c>
      <c r="J198">
        <v>44114</v>
      </c>
      <c r="M198">
        <f t="shared" si="20"/>
        <v>8.8228000000000004E-4</v>
      </c>
      <c r="O198">
        <v>7198740</v>
      </c>
      <c r="P198">
        <v>57651200</v>
      </c>
      <c r="Q198" s="1" t="s">
        <v>597</v>
      </c>
      <c r="S198">
        <f t="shared" si="21"/>
        <v>0</v>
      </c>
      <c r="T198">
        <f t="shared" si="22"/>
        <v>0</v>
      </c>
    </row>
    <row r="199" spans="1:20" x14ac:dyDescent="0.3">
      <c r="A199" t="s">
        <v>67</v>
      </c>
      <c r="B199">
        <v>39</v>
      </c>
      <c r="C199" t="s">
        <v>78</v>
      </c>
      <c r="D199">
        <v>37</v>
      </c>
      <c r="E199">
        <f t="shared" si="19"/>
        <v>13</v>
      </c>
      <c r="F199" t="s">
        <v>14</v>
      </c>
      <c r="J199">
        <v>184446</v>
      </c>
      <c r="M199">
        <f t="shared" si="20"/>
        <v>3.68892E-3</v>
      </c>
      <c r="O199">
        <v>7198741</v>
      </c>
      <c r="P199">
        <v>58146816</v>
      </c>
      <c r="Q199" s="1" t="s">
        <v>490</v>
      </c>
      <c r="S199">
        <f t="shared" si="21"/>
        <v>13</v>
      </c>
      <c r="T199">
        <f t="shared" si="22"/>
        <v>0</v>
      </c>
    </row>
    <row r="200" spans="1:20" x14ac:dyDescent="0.3">
      <c r="A200" t="s">
        <v>67</v>
      </c>
      <c r="B200">
        <v>39</v>
      </c>
      <c r="C200" t="s">
        <v>78</v>
      </c>
      <c r="D200">
        <v>59</v>
      </c>
      <c r="E200">
        <f t="shared" si="19"/>
        <v>22</v>
      </c>
      <c r="F200" t="s">
        <v>13</v>
      </c>
      <c r="J200">
        <v>152319</v>
      </c>
      <c r="M200">
        <f t="shared" si="20"/>
        <v>3.04638E-3</v>
      </c>
      <c r="O200">
        <v>8687786</v>
      </c>
      <c r="P200">
        <v>57380864</v>
      </c>
      <c r="Q200" s="1" t="s">
        <v>491</v>
      </c>
      <c r="S200">
        <f t="shared" si="21"/>
        <v>0</v>
      </c>
      <c r="T200">
        <f t="shared" si="22"/>
        <v>0</v>
      </c>
    </row>
    <row r="201" spans="1:20" x14ac:dyDescent="0.3">
      <c r="A201" t="s">
        <v>67</v>
      </c>
      <c r="B201">
        <v>39</v>
      </c>
      <c r="C201" t="s">
        <v>78</v>
      </c>
      <c r="D201">
        <v>75</v>
      </c>
      <c r="E201">
        <f t="shared" si="19"/>
        <v>16</v>
      </c>
      <c r="F201" t="s">
        <v>12</v>
      </c>
      <c r="J201">
        <v>87951</v>
      </c>
      <c r="M201">
        <f t="shared" si="20"/>
        <v>1.75902E-3</v>
      </c>
      <c r="O201">
        <v>8687789</v>
      </c>
      <c r="P201">
        <v>58081280</v>
      </c>
      <c r="Q201" s="1" t="s">
        <v>492</v>
      </c>
      <c r="S201">
        <f t="shared" si="21"/>
        <v>0</v>
      </c>
      <c r="T201">
        <f t="shared" si="22"/>
        <v>16</v>
      </c>
    </row>
    <row r="202" spans="1:20" x14ac:dyDescent="0.3">
      <c r="A202" t="s">
        <v>67</v>
      </c>
      <c r="B202">
        <v>39</v>
      </c>
      <c r="C202" t="s">
        <v>78</v>
      </c>
      <c r="D202">
        <v>99</v>
      </c>
      <c r="E202">
        <f t="shared" si="19"/>
        <v>24</v>
      </c>
      <c r="F202" t="s">
        <v>11</v>
      </c>
      <c r="J202">
        <v>64951</v>
      </c>
      <c r="M202">
        <f t="shared" si="20"/>
        <v>1.2990200000000001E-3</v>
      </c>
      <c r="O202">
        <v>7198745</v>
      </c>
      <c r="P202">
        <v>57888768</v>
      </c>
      <c r="Q202" s="1" t="s">
        <v>598</v>
      </c>
      <c r="S202">
        <f t="shared" si="21"/>
        <v>0</v>
      </c>
      <c r="T202">
        <f t="shared" si="22"/>
        <v>0</v>
      </c>
    </row>
    <row r="203" spans="1:20" x14ac:dyDescent="0.3">
      <c r="A203" t="s">
        <v>67</v>
      </c>
      <c r="B203">
        <v>40</v>
      </c>
      <c r="C203" t="s">
        <v>77</v>
      </c>
      <c r="D203">
        <v>16</v>
      </c>
      <c r="E203">
        <f t="shared" si="19"/>
        <v>16</v>
      </c>
      <c r="F203" t="s">
        <v>15</v>
      </c>
      <c r="J203">
        <v>44114</v>
      </c>
      <c r="M203">
        <f t="shared" si="20"/>
        <v>8.8228000000000004E-4</v>
      </c>
      <c r="O203">
        <v>7198748</v>
      </c>
      <c r="P203">
        <v>57757696</v>
      </c>
      <c r="Q203" s="1" t="s">
        <v>599</v>
      </c>
      <c r="S203">
        <f t="shared" si="21"/>
        <v>0</v>
      </c>
      <c r="T203">
        <f t="shared" si="22"/>
        <v>0</v>
      </c>
    </row>
    <row r="204" spans="1:20" x14ac:dyDescent="0.3">
      <c r="A204" t="s">
        <v>67</v>
      </c>
      <c r="B204">
        <v>40</v>
      </c>
      <c r="C204" t="s">
        <v>77</v>
      </c>
      <c r="D204">
        <v>32</v>
      </c>
      <c r="E204">
        <f t="shared" si="19"/>
        <v>16</v>
      </c>
      <c r="F204" t="s">
        <v>14</v>
      </c>
      <c r="J204">
        <v>184446</v>
      </c>
      <c r="M204">
        <f t="shared" si="20"/>
        <v>3.68892E-3</v>
      </c>
      <c r="O204">
        <v>7198749</v>
      </c>
      <c r="P204">
        <v>58036224</v>
      </c>
      <c r="Q204" s="1" t="s">
        <v>493</v>
      </c>
      <c r="S204">
        <f t="shared" si="21"/>
        <v>16</v>
      </c>
      <c r="T204">
        <f t="shared" si="22"/>
        <v>0</v>
      </c>
    </row>
    <row r="205" spans="1:20" x14ac:dyDescent="0.3">
      <c r="A205" t="s">
        <v>67</v>
      </c>
      <c r="B205">
        <v>40</v>
      </c>
      <c r="C205" t="s">
        <v>77</v>
      </c>
      <c r="D205">
        <v>46</v>
      </c>
      <c r="E205">
        <f t="shared" si="19"/>
        <v>14</v>
      </c>
      <c r="F205" t="s">
        <v>13</v>
      </c>
      <c r="J205">
        <v>152319</v>
      </c>
      <c r="M205">
        <f t="shared" si="20"/>
        <v>3.04638E-3</v>
      </c>
      <c r="O205">
        <v>8687801</v>
      </c>
      <c r="P205">
        <v>56139776</v>
      </c>
      <c r="Q205" s="1" t="s">
        <v>494</v>
      </c>
      <c r="S205">
        <f t="shared" si="21"/>
        <v>0</v>
      </c>
      <c r="T205">
        <f t="shared" si="22"/>
        <v>0</v>
      </c>
    </row>
    <row r="206" spans="1:20" x14ac:dyDescent="0.3">
      <c r="A206" t="s">
        <v>67</v>
      </c>
      <c r="B206">
        <v>40</v>
      </c>
      <c r="C206" t="s">
        <v>77</v>
      </c>
      <c r="D206">
        <v>68</v>
      </c>
      <c r="E206">
        <f t="shared" si="19"/>
        <v>22</v>
      </c>
      <c r="F206" t="s">
        <v>12</v>
      </c>
      <c r="J206">
        <v>87951</v>
      </c>
      <c r="M206">
        <f t="shared" si="20"/>
        <v>1.75902E-3</v>
      </c>
      <c r="O206">
        <v>8687802</v>
      </c>
      <c r="P206">
        <v>56664064</v>
      </c>
      <c r="Q206" s="1" t="s">
        <v>495</v>
      </c>
      <c r="S206">
        <f t="shared" si="21"/>
        <v>0</v>
      </c>
      <c r="T206">
        <f t="shared" si="22"/>
        <v>22</v>
      </c>
    </row>
    <row r="207" spans="1:20" x14ac:dyDescent="0.3">
      <c r="A207" t="s">
        <v>67</v>
      </c>
      <c r="B207">
        <v>40</v>
      </c>
      <c r="C207" t="s">
        <v>77</v>
      </c>
      <c r="D207">
        <v>89</v>
      </c>
      <c r="E207">
        <f t="shared" si="19"/>
        <v>21</v>
      </c>
      <c r="F207" t="s">
        <v>11</v>
      </c>
      <c r="J207">
        <v>64951</v>
      </c>
      <c r="M207">
        <f t="shared" si="20"/>
        <v>1.2990200000000001E-3</v>
      </c>
      <c r="O207">
        <v>7198753</v>
      </c>
      <c r="P207">
        <v>56467456</v>
      </c>
      <c r="Q207" s="1" t="s">
        <v>496</v>
      </c>
      <c r="S207">
        <f t="shared" si="21"/>
        <v>0</v>
      </c>
      <c r="T207">
        <f t="shared" si="22"/>
        <v>0</v>
      </c>
    </row>
    <row r="208" spans="1:20" x14ac:dyDescent="0.3">
      <c r="A208" t="s">
        <v>67</v>
      </c>
      <c r="B208">
        <v>41</v>
      </c>
      <c r="C208" t="s">
        <v>76</v>
      </c>
      <c r="D208">
        <v>22</v>
      </c>
      <c r="E208">
        <f t="shared" si="19"/>
        <v>22</v>
      </c>
      <c r="F208" t="s">
        <v>15</v>
      </c>
      <c r="J208">
        <v>44114</v>
      </c>
      <c r="M208">
        <f t="shared" si="20"/>
        <v>8.8228000000000004E-4</v>
      </c>
      <c r="O208">
        <v>7198755</v>
      </c>
      <c r="P208">
        <v>56819712</v>
      </c>
      <c r="Q208" s="1" t="s">
        <v>591</v>
      </c>
      <c r="S208">
        <f t="shared" si="21"/>
        <v>0</v>
      </c>
      <c r="T208">
        <f t="shared" si="22"/>
        <v>0</v>
      </c>
    </row>
    <row r="209" spans="1:20" x14ac:dyDescent="0.3">
      <c r="A209" t="s">
        <v>67</v>
      </c>
      <c r="B209">
        <v>41</v>
      </c>
      <c r="C209" t="s">
        <v>76</v>
      </c>
      <c r="D209">
        <v>42</v>
      </c>
      <c r="E209">
        <f t="shared" si="19"/>
        <v>20</v>
      </c>
      <c r="F209" t="s">
        <v>14</v>
      </c>
      <c r="J209">
        <v>184434</v>
      </c>
      <c r="M209">
        <f t="shared" si="20"/>
        <v>3.6886800000000002E-3</v>
      </c>
      <c r="O209">
        <v>7198756</v>
      </c>
      <c r="P209">
        <v>56766464</v>
      </c>
      <c r="Q209" s="1" t="s">
        <v>600</v>
      </c>
      <c r="S209">
        <f t="shared" si="21"/>
        <v>20</v>
      </c>
      <c r="T209">
        <f t="shared" si="22"/>
        <v>0</v>
      </c>
    </row>
    <row r="210" spans="1:20" x14ac:dyDescent="0.3">
      <c r="A210" t="s">
        <v>67</v>
      </c>
      <c r="B210">
        <v>41</v>
      </c>
      <c r="C210" t="s">
        <v>76</v>
      </c>
      <c r="D210">
        <v>38</v>
      </c>
      <c r="E210">
        <f t="shared" si="19"/>
        <v>-4</v>
      </c>
      <c r="F210" t="s">
        <v>13</v>
      </c>
      <c r="J210">
        <v>152307</v>
      </c>
      <c r="M210">
        <f t="shared" si="20"/>
        <v>3.0461400000000001E-3</v>
      </c>
      <c r="O210">
        <v>8687811</v>
      </c>
      <c r="P210">
        <v>56664064</v>
      </c>
      <c r="Q210" s="1" t="s">
        <v>497</v>
      </c>
      <c r="S210">
        <f t="shared" si="21"/>
        <v>0</v>
      </c>
      <c r="T210">
        <f t="shared" si="22"/>
        <v>0</v>
      </c>
    </row>
    <row r="211" spans="1:20" x14ac:dyDescent="0.3">
      <c r="A211" t="s">
        <v>67</v>
      </c>
      <c r="B211">
        <v>41</v>
      </c>
      <c r="C211" t="s">
        <v>76</v>
      </c>
      <c r="D211">
        <v>60</v>
      </c>
      <c r="E211">
        <f t="shared" si="19"/>
        <v>22</v>
      </c>
      <c r="F211" t="s">
        <v>12</v>
      </c>
      <c r="J211">
        <v>87951</v>
      </c>
      <c r="M211">
        <f t="shared" si="20"/>
        <v>1.75902E-3</v>
      </c>
      <c r="O211">
        <v>8687813</v>
      </c>
      <c r="P211">
        <v>56512512</v>
      </c>
      <c r="Q211" s="1" t="s">
        <v>498</v>
      </c>
      <c r="S211">
        <f t="shared" si="21"/>
        <v>0</v>
      </c>
      <c r="T211">
        <f t="shared" si="22"/>
        <v>22</v>
      </c>
    </row>
    <row r="212" spans="1:20" x14ac:dyDescent="0.3">
      <c r="A212" t="s">
        <v>67</v>
      </c>
      <c r="B212">
        <v>41</v>
      </c>
      <c r="C212" t="s">
        <v>76</v>
      </c>
      <c r="D212">
        <v>66</v>
      </c>
      <c r="E212">
        <f t="shared" si="19"/>
        <v>6</v>
      </c>
      <c r="F212" t="s">
        <v>11</v>
      </c>
      <c r="J212">
        <v>64951</v>
      </c>
      <c r="M212">
        <f t="shared" si="20"/>
        <v>1.2990200000000001E-3</v>
      </c>
      <c r="O212">
        <v>7198759</v>
      </c>
      <c r="P212">
        <v>56684544</v>
      </c>
      <c r="Q212" s="1" t="s">
        <v>499</v>
      </c>
      <c r="S212">
        <f t="shared" si="21"/>
        <v>0</v>
      </c>
      <c r="T212">
        <f t="shared" si="22"/>
        <v>0</v>
      </c>
    </row>
    <row r="213" spans="1:20" x14ac:dyDescent="0.3">
      <c r="A213" t="s">
        <v>67</v>
      </c>
      <c r="B213">
        <v>42</v>
      </c>
      <c r="C213" t="s">
        <v>75</v>
      </c>
      <c r="D213">
        <v>12</v>
      </c>
      <c r="E213">
        <f t="shared" si="19"/>
        <v>12</v>
      </c>
      <c r="F213" t="s">
        <v>15</v>
      </c>
      <c r="J213">
        <v>44114</v>
      </c>
      <c r="M213">
        <f t="shared" si="20"/>
        <v>8.8228000000000004E-4</v>
      </c>
      <c r="O213">
        <v>7198761</v>
      </c>
      <c r="P213">
        <v>57171968</v>
      </c>
      <c r="Q213" s="1" t="s">
        <v>601</v>
      </c>
      <c r="S213">
        <f t="shared" si="21"/>
        <v>0</v>
      </c>
      <c r="T213">
        <f t="shared" si="22"/>
        <v>0</v>
      </c>
    </row>
    <row r="214" spans="1:20" x14ac:dyDescent="0.3">
      <c r="A214" t="s">
        <v>67</v>
      </c>
      <c r="B214">
        <v>42</v>
      </c>
      <c r="C214" t="s">
        <v>75</v>
      </c>
      <c r="D214">
        <v>28</v>
      </c>
      <c r="E214">
        <f t="shared" si="19"/>
        <v>16</v>
      </c>
      <c r="F214" t="s">
        <v>14</v>
      </c>
      <c r="J214">
        <v>184446</v>
      </c>
      <c r="M214">
        <f t="shared" si="20"/>
        <v>3.68892E-3</v>
      </c>
      <c r="O214">
        <v>7198762</v>
      </c>
      <c r="P214">
        <v>56393728</v>
      </c>
      <c r="Q214" s="1" t="s">
        <v>602</v>
      </c>
      <c r="S214">
        <f t="shared" si="21"/>
        <v>16</v>
      </c>
      <c r="T214">
        <f t="shared" si="22"/>
        <v>0</v>
      </c>
    </row>
    <row r="215" spans="1:20" x14ac:dyDescent="0.3">
      <c r="A215" t="s">
        <v>67</v>
      </c>
      <c r="B215">
        <v>42</v>
      </c>
      <c r="C215" t="s">
        <v>75</v>
      </c>
      <c r="D215">
        <v>62</v>
      </c>
      <c r="E215">
        <f t="shared" si="19"/>
        <v>34</v>
      </c>
      <c r="F215" t="s">
        <v>13</v>
      </c>
      <c r="J215">
        <v>152319</v>
      </c>
      <c r="M215">
        <f t="shared" si="20"/>
        <v>3.04638E-3</v>
      </c>
      <c r="O215">
        <v>8687824</v>
      </c>
      <c r="P215">
        <v>56819712</v>
      </c>
      <c r="Q215" s="1" t="s">
        <v>500</v>
      </c>
      <c r="S215">
        <f t="shared" si="21"/>
        <v>0</v>
      </c>
      <c r="T215">
        <f t="shared" si="22"/>
        <v>0</v>
      </c>
    </row>
    <row r="216" spans="1:20" x14ac:dyDescent="0.3">
      <c r="A216" t="s">
        <v>67</v>
      </c>
      <c r="B216">
        <v>42</v>
      </c>
      <c r="C216" t="s">
        <v>75</v>
      </c>
      <c r="D216">
        <v>98</v>
      </c>
      <c r="E216">
        <f t="shared" si="19"/>
        <v>36</v>
      </c>
      <c r="F216" t="s">
        <v>12</v>
      </c>
      <c r="J216">
        <v>87951</v>
      </c>
      <c r="M216">
        <f t="shared" si="20"/>
        <v>1.75902E-3</v>
      </c>
      <c r="O216">
        <v>8687826</v>
      </c>
      <c r="P216">
        <v>56238080</v>
      </c>
      <c r="Q216" s="1" t="s">
        <v>501</v>
      </c>
      <c r="S216">
        <f t="shared" si="21"/>
        <v>0</v>
      </c>
      <c r="T216">
        <f t="shared" si="22"/>
        <v>36</v>
      </c>
    </row>
    <row r="217" spans="1:20" x14ac:dyDescent="0.3">
      <c r="A217" t="s">
        <v>67</v>
      </c>
      <c r="B217">
        <v>42</v>
      </c>
      <c r="C217" t="s">
        <v>75</v>
      </c>
      <c r="D217">
        <v>115</v>
      </c>
      <c r="E217">
        <f t="shared" si="19"/>
        <v>17</v>
      </c>
      <c r="F217" t="s">
        <v>11</v>
      </c>
      <c r="J217">
        <v>64951</v>
      </c>
      <c r="M217">
        <f t="shared" si="20"/>
        <v>1.2990200000000001E-3</v>
      </c>
      <c r="O217">
        <v>7198768</v>
      </c>
      <c r="P217">
        <v>55980032</v>
      </c>
      <c r="Q217" s="1" t="s">
        <v>502</v>
      </c>
      <c r="S217">
        <f t="shared" si="21"/>
        <v>0</v>
      </c>
      <c r="T217">
        <f t="shared" si="22"/>
        <v>0</v>
      </c>
    </row>
    <row r="218" spans="1:20" x14ac:dyDescent="0.3">
      <c r="A218" t="s">
        <v>67</v>
      </c>
      <c r="B218">
        <v>43</v>
      </c>
      <c r="C218" t="s">
        <v>74</v>
      </c>
      <c r="D218">
        <v>26</v>
      </c>
      <c r="E218">
        <f t="shared" si="19"/>
        <v>26</v>
      </c>
      <c r="F218" t="s">
        <v>15</v>
      </c>
      <c r="J218">
        <v>44114</v>
      </c>
      <c r="M218">
        <f t="shared" si="20"/>
        <v>8.8228000000000004E-4</v>
      </c>
      <c r="O218">
        <v>7198771</v>
      </c>
      <c r="P218">
        <v>55091200</v>
      </c>
      <c r="Q218" s="1" t="s">
        <v>603</v>
      </c>
      <c r="S218">
        <f t="shared" si="21"/>
        <v>0</v>
      </c>
      <c r="T218">
        <f t="shared" si="22"/>
        <v>0</v>
      </c>
    </row>
    <row r="219" spans="1:20" x14ac:dyDescent="0.3">
      <c r="A219" t="s">
        <v>67</v>
      </c>
      <c r="B219">
        <v>43</v>
      </c>
      <c r="C219" t="s">
        <v>74</v>
      </c>
      <c r="D219">
        <v>43</v>
      </c>
      <c r="E219">
        <f t="shared" si="19"/>
        <v>17</v>
      </c>
      <c r="F219" t="s">
        <v>14</v>
      </c>
      <c r="J219">
        <v>184446</v>
      </c>
      <c r="M219">
        <f t="shared" si="20"/>
        <v>3.68892E-3</v>
      </c>
      <c r="O219">
        <v>7198772</v>
      </c>
      <c r="P219">
        <v>55201792</v>
      </c>
      <c r="Q219" s="1" t="s">
        <v>604</v>
      </c>
      <c r="S219">
        <f t="shared" si="21"/>
        <v>17</v>
      </c>
      <c r="T219">
        <f t="shared" si="22"/>
        <v>0</v>
      </c>
    </row>
    <row r="220" spans="1:20" x14ac:dyDescent="0.3">
      <c r="A220" t="s">
        <v>67</v>
      </c>
      <c r="B220">
        <v>43</v>
      </c>
      <c r="C220" t="s">
        <v>74</v>
      </c>
      <c r="D220">
        <v>59</v>
      </c>
      <c r="E220">
        <f t="shared" si="19"/>
        <v>16</v>
      </c>
      <c r="F220" t="s">
        <v>13</v>
      </c>
      <c r="J220">
        <v>152319</v>
      </c>
      <c r="M220">
        <f t="shared" si="20"/>
        <v>3.04638E-3</v>
      </c>
      <c r="O220">
        <v>8687834</v>
      </c>
      <c r="P220">
        <v>55058432</v>
      </c>
      <c r="Q220" s="1" t="s">
        <v>503</v>
      </c>
      <c r="S220">
        <f t="shared" si="21"/>
        <v>0</v>
      </c>
      <c r="T220">
        <f t="shared" si="22"/>
        <v>0</v>
      </c>
    </row>
    <row r="221" spans="1:20" x14ac:dyDescent="0.3">
      <c r="A221" t="s">
        <v>67</v>
      </c>
      <c r="B221">
        <v>43</v>
      </c>
      <c r="C221" t="s">
        <v>74</v>
      </c>
      <c r="D221">
        <v>69</v>
      </c>
      <c r="E221">
        <f t="shared" si="19"/>
        <v>10</v>
      </c>
      <c r="F221" t="s">
        <v>12</v>
      </c>
      <c r="J221">
        <v>87939</v>
      </c>
      <c r="M221">
        <f t="shared" si="20"/>
        <v>1.7587799999999999E-3</v>
      </c>
      <c r="O221">
        <v>8687836</v>
      </c>
      <c r="P221">
        <v>55422976</v>
      </c>
      <c r="Q221" s="1" t="s">
        <v>504</v>
      </c>
      <c r="S221">
        <f t="shared" si="21"/>
        <v>0</v>
      </c>
      <c r="T221">
        <f t="shared" si="22"/>
        <v>10</v>
      </c>
    </row>
    <row r="222" spans="1:20" x14ac:dyDescent="0.3">
      <c r="A222" t="s">
        <v>67</v>
      </c>
      <c r="B222">
        <v>43</v>
      </c>
      <c r="C222" t="s">
        <v>74</v>
      </c>
      <c r="D222">
        <v>81</v>
      </c>
      <c r="E222">
        <f t="shared" si="19"/>
        <v>12</v>
      </c>
      <c r="F222" t="s">
        <v>11</v>
      </c>
      <c r="J222">
        <v>64939</v>
      </c>
      <c r="M222">
        <f t="shared" si="20"/>
        <v>1.29878E-3</v>
      </c>
      <c r="O222">
        <v>7198775</v>
      </c>
      <c r="P222">
        <v>55046144</v>
      </c>
      <c r="Q222" s="1" t="s">
        <v>505</v>
      </c>
      <c r="S222">
        <f t="shared" si="21"/>
        <v>0</v>
      </c>
      <c r="T222">
        <f t="shared" si="22"/>
        <v>0</v>
      </c>
    </row>
    <row r="223" spans="1:20" x14ac:dyDescent="0.3">
      <c r="A223" t="s">
        <v>67</v>
      </c>
      <c r="B223">
        <v>44</v>
      </c>
      <c r="C223" t="s">
        <v>73</v>
      </c>
      <c r="D223">
        <v>26</v>
      </c>
      <c r="E223">
        <f t="shared" si="19"/>
        <v>26</v>
      </c>
      <c r="F223" t="s">
        <v>15</v>
      </c>
      <c r="J223">
        <v>44114</v>
      </c>
      <c r="M223">
        <f t="shared" si="20"/>
        <v>8.8228000000000004E-4</v>
      </c>
      <c r="O223">
        <v>7198778</v>
      </c>
      <c r="P223">
        <v>55869440</v>
      </c>
      <c r="Q223" s="1" t="s">
        <v>605</v>
      </c>
      <c r="S223">
        <f t="shared" si="21"/>
        <v>0</v>
      </c>
      <c r="T223">
        <f t="shared" si="22"/>
        <v>0</v>
      </c>
    </row>
    <row r="224" spans="1:20" x14ac:dyDescent="0.3">
      <c r="A224" t="s">
        <v>67</v>
      </c>
      <c r="B224">
        <v>44</v>
      </c>
      <c r="C224" t="s">
        <v>73</v>
      </c>
      <c r="D224">
        <v>42</v>
      </c>
      <c r="E224">
        <f t="shared" si="19"/>
        <v>16</v>
      </c>
      <c r="F224" t="s">
        <v>14</v>
      </c>
      <c r="J224">
        <v>184446</v>
      </c>
      <c r="M224">
        <f t="shared" si="20"/>
        <v>3.68892E-3</v>
      </c>
      <c r="O224">
        <v>7198779</v>
      </c>
      <c r="P224">
        <v>55848960</v>
      </c>
      <c r="Q224" s="1" t="s">
        <v>606</v>
      </c>
      <c r="S224">
        <f t="shared" si="21"/>
        <v>16</v>
      </c>
      <c r="T224">
        <f t="shared" si="22"/>
        <v>0</v>
      </c>
    </row>
    <row r="225" spans="1:20" x14ac:dyDescent="0.3">
      <c r="A225" t="s">
        <v>67</v>
      </c>
      <c r="B225">
        <v>44</v>
      </c>
      <c r="C225" t="s">
        <v>73</v>
      </c>
      <c r="D225">
        <v>62</v>
      </c>
      <c r="E225">
        <f t="shared" si="19"/>
        <v>20</v>
      </c>
      <c r="F225" t="s">
        <v>13</v>
      </c>
      <c r="J225">
        <v>152319</v>
      </c>
      <c r="M225">
        <f t="shared" si="20"/>
        <v>3.04638E-3</v>
      </c>
      <c r="O225">
        <v>8687845</v>
      </c>
      <c r="P225">
        <v>54968320</v>
      </c>
      <c r="Q225" s="1" t="s">
        <v>506</v>
      </c>
      <c r="S225">
        <f t="shared" si="21"/>
        <v>0</v>
      </c>
      <c r="T225">
        <f t="shared" si="22"/>
        <v>0</v>
      </c>
    </row>
    <row r="226" spans="1:20" x14ac:dyDescent="0.3">
      <c r="A226" t="s">
        <v>67</v>
      </c>
      <c r="B226">
        <v>44</v>
      </c>
      <c r="C226" t="s">
        <v>73</v>
      </c>
      <c r="D226">
        <v>72</v>
      </c>
      <c r="E226">
        <f t="shared" si="19"/>
        <v>10</v>
      </c>
      <c r="F226" t="s">
        <v>12</v>
      </c>
      <c r="J226">
        <v>87951</v>
      </c>
      <c r="M226">
        <f t="shared" si="20"/>
        <v>1.75902E-3</v>
      </c>
      <c r="O226">
        <v>8687848</v>
      </c>
      <c r="P226">
        <v>55300096</v>
      </c>
      <c r="Q226" s="1" t="s">
        <v>507</v>
      </c>
      <c r="S226">
        <f t="shared" si="21"/>
        <v>0</v>
      </c>
      <c r="T226">
        <f t="shared" si="22"/>
        <v>10</v>
      </c>
    </row>
    <row r="227" spans="1:20" x14ac:dyDescent="0.3">
      <c r="A227" t="s">
        <v>67</v>
      </c>
      <c r="B227">
        <v>44</v>
      </c>
      <c r="C227" t="s">
        <v>73</v>
      </c>
      <c r="D227">
        <v>85</v>
      </c>
      <c r="E227">
        <f t="shared" si="19"/>
        <v>13</v>
      </c>
      <c r="F227" t="s">
        <v>11</v>
      </c>
      <c r="J227">
        <v>64951</v>
      </c>
      <c r="M227">
        <f t="shared" si="20"/>
        <v>1.2990200000000001E-3</v>
      </c>
      <c r="O227">
        <v>7198782</v>
      </c>
      <c r="P227">
        <v>54988800</v>
      </c>
      <c r="Q227" s="1" t="s">
        <v>508</v>
      </c>
      <c r="S227">
        <f t="shared" si="21"/>
        <v>0</v>
      </c>
      <c r="T227">
        <f t="shared" si="22"/>
        <v>0</v>
      </c>
    </row>
    <row r="228" spans="1:20" x14ac:dyDescent="0.3">
      <c r="A228" t="s">
        <v>67</v>
      </c>
      <c r="B228">
        <v>45</v>
      </c>
      <c r="C228" t="s">
        <v>72</v>
      </c>
      <c r="D228">
        <v>23</v>
      </c>
      <c r="E228">
        <f t="shared" si="19"/>
        <v>23</v>
      </c>
      <c r="F228" t="s">
        <v>15</v>
      </c>
      <c r="J228">
        <v>44114</v>
      </c>
      <c r="M228">
        <f t="shared" si="20"/>
        <v>8.8228000000000004E-4</v>
      </c>
      <c r="O228">
        <v>7198785</v>
      </c>
      <c r="P228">
        <v>55726080</v>
      </c>
      <c r="Q228" s="1" t="s">
        <v>607</v>
      </c>
      <c r="S228">
        <f t="shared" si="21"/>
        <v>0</v>
      </c>
      <c r="T228">
        <f t="shared" si="22"/>
        <v>0</v>
      </c>
    </row>
    <row r="229" spans="1:20" x14ac:dyDescent="0.3">
      <c r="A229" t="s">
        <v>67</v>
      </c>
      <c r="B229">
        <v>45</v>
      </c>
      <c r="C229" t="s">
        <v>72</v>
      </c>
      <c r="D229">
        <v>40</v>
      </c>
      <c r="E229">
        <f t="shared" si="19"/>
        <v>17</v>
      </c>
      <c r="F229" t="s">
        <v>14</v>
      </c>
      <c r="J229">
        <v>184446</v>
      </c>
      <c r="M229">
        <f t="shared" si="20"/>
        <v>3.68892E-3</v>
      </c>
      <c r="O229">
        <v>7198786</v>
      </c>
      <c r="P229">
        <v>55648256</v>
      </c>
      <c r="Q229" s="1" t="s">
        <v>608</v>
      </c>
      <c r="S229">
        <f t="shared" si="21"/>
        <v>17</v>
      </c>
      <c r="T229">
        <f t="shared" si="22"/>
        <v>0</v>
      </c>
    </row>
    <row r="230" spans="1:20" x14ac:dyDescent="0.3">
      <c r="A230" t="s">
        <v>67</v>
      </c>
      <c r="B230">
        <v>45</v>
      </c>
      <c r="C230" t="s">
        <v>72</v>
      </c>
      <c r="D230">
        <v>62</v>
      </c>
      <c r="E230">
        <f t="shared" si="19"/>
        <v>22</v>
      </c>
      <c r="F230" t="s">
        <v>13</v>
      </c>
      <c r="J230">
        <v>152319</v>
      </c>
      <c r="M230">
        <f t="shared" si="20"/>
        <v>3.04638E-3</v>
      </c>
      <c r="O230">
        <v>8687860</v>
      </c>
      <c r="P230">
        <v>55640064</v>
      </c>
      <c r="Q230" s="1" t="s">
        <v>509</v>
      </c>
      <c r="S230">
        <f t="shared" si="21"/>
        <v>0</v>
      </c>
      <c r="T230">
        <f t="shared" si="22"/>
        <v>0</v>
      </c>
    </row>
    <row r="231" spans="1:20" x14ac:dyDescent="0.3">
      <c r="A231" t="s">
        <v>67</v>
      </c>
      <c r="B231">
        <v>45</v>
      </c>
      <c r="C231" t="s">
        <v>72</v>
      </c>
      <c r="D231">
        <v>76</v>
      </c>
      <c r="E231">
        <f t="shared" si="19"/>
        <v>14</v>
      </c>
      <c r="F231" t="s">
        <v>12</v>
      </c>
      <c r="J231">
        <v>87951</v>
      </c>
      <c r="M231">
        <f t="shared" si="20"/>
        <v>1.75902E-3</v>
      </c>
      <c r="O231">
        <v>8687861</v>
      </c>
      <c r="P231">
        <v>55181312</v>
      </c>
      <c r="Q231" s="1" t="s">
        <v>510</v>
      </c>
      <c r="S231">
        <f t="shared" si="21"/>
        <v>0</v>
      </c>
      <c r="T231">
        <f t="shared" si="22"/>
        <v>14</v>
      </c>
    </row>
    <row r="232" spans="1:20" x14ac:dyDescent="0.3">
      <c r="A232" t="s">
        <v>67</v>
      </c>
      <c r="B232">
        <v>45</v>
      </c>
      <c r="C232" t="s">
        <v>72</v>
      </c>
      <c r="D232">
        <v>100</v>
      </c>
      <c r="E232">
        <f t="shared" si="19"/>
        <v>24</v>
      </c>
      <c r="F232" t="s">
        <v>11</v>
      </c>
      <c r="J232">
        <v>64951</v>
      </c>
      <c r="M232">
        <f t="shared" si="20"/>
        <v>1.2990200000000001E-3</v>
      </c>
      <c r="O232">
        <v>7198790</v>
      </c>
      <c r="P232">
        <v>55271424</v>
      </c>
      <c r="Q232" s="1" t="s">
        <v>511</v>
      </c>
      <c r="S232">
        <f t="shared" si="21"/>
        <v>0</v>
      </c>
      <c r="T232">
        <f t="shared" si="22"/>
        <v>0</v>
      </c>
    </row>
    <row r="233" spans="1:20" x14ac:dyDescent="0.3">
      <c r="A233" t="s">
        <v>67</v>
      </c>
      <c r="B233">
        <v>46</v>
      </c>
      <c r="C233" t="s">
        <v>71</v>
      </c>
      <c r="D233">
        <v>20</v>
      </c>
      <c r="E233">
        <f t="shared" si="19"/>
        <v>20</v>
      </c>
      <c r="F233" t="s">
        <v>15</v>
      </c>
      <c r="J233">
        <v>44114</v>
      </c>
      <c r="M233">
        <f t="shared" si="20"/>
        <v>8.8228000000000004E-4</v>
      </c>
      <c r="O233">
        <v>7198793</v>
      </c>
      <c r="P233">
        <v>54849536</v>
      </c>
      <c r="Q233" s="1" t="s">
        <v>609</v>
      </c>
      <c r="S233">
        <f t="shared" si="21"/>
        <v>0</v>
      </c>
      <c r="T233">
        <f t="shared" si="22"/>
        <v>0</v>
      </c>
    </row>
    <row r="234" spans="1:20" x14ac:dyDescent="0.3">
      <c r="A234" t="s">
        <v>67</v>
      </c>
      <c r="B234">
        <v>46</v>
      </c>
      <c r="C234" t="s">
        <v>71</v>
      </c>
      <c r="D234">
        <v>36</v>
      </c>
      <c r="E234">
        <f t="shared" si="19"/>
        <v>16</v>
      </c>
      <c r="F234" t="s">
        <v>14</v>
      </c>
      <c r="J234">
        <v>184446</v>
      </c>
      <c r="M234">
        <f t="shared" si="20"/>
        <v>3.68892E-3</v>
      </c>
      <c r="O234">
        <v>7198794</v>
      </c>
      <c r="P234">
        <v>55750656</v>
      </c>
      <c r="Q234" s="1" t="s">
        <v>610</v>
      </c>
      <c r="S234">
        <f t="shared" si="21"/>
        <v>16</v>
      </c>
      <c r="T234">
        <f t="shared" si="22"/>
        <v>0</v>
      </c>
    </row>
    <row r="235" spans="1:20" x14ac:dyDescent="0.3">
      <c r="A235" t="s">
        <v>67</v>
      </c>
      <c r="B235">
        <v>46</v>
      </c>
      <c r="C235" t="s">
        <v>71</v>
      </c>
      <c r="D235">
        <v>70</v>
      </c>
      <c r="E235">
        <f t="shared" si="19"/>
        <v>34</v>
      </c>
      <c r="F235" t="s">
        <v>13</v>
      </c>
      <c r="J235">
        <v>152319</v>
      </c>
      <c r="M235">
        <f t="shared" si="20"/>
        <v>3.04638E-3</v>
      </c>
      <c r="O235">
        <v>8687875</v>
      </c>
      <c r="P235">
        <v>55144448</v>
      </c>
      <c r="Q235" s="1" t="s">
        <v>512</v>
      </c>
      <c r="S235">
        <f t="shared" si="21"/>
        <v>0</v>
      </c>
      <c r="T235">
        <f t="shared" si="22"/>
        <v>0</v>
      </c>
    </row>
    <row r="236" spans="1:20" x14ac:dyDescent="0.3">
      <c r="A236" t="s">
        <v>67</v>
      </c>
      <c r="B236">
        <v>46</v>
      </c>
      <c r="C236" t="s">
        <v>71</v>
      </c>
      <c r="D236">
        <v>94</v>
      </c>
      <c r="E236">
        <f t="shared" si="19"/>
        <v>24</v>
      </c>
      <c r="F236" t="s">
        <v>12</v>
      </c>
      <c r="J236">
        <v>87951</v>
      </c>
      <c r="M236">
        <f t="shared" si="20"/>
        <v>1.75902E-3</v>
      </c>
      <c r="O236">
        <v>8687877</v>
      </c>
      <c r="P236">
        <v>55705600</v>
      </c>
      <c r="Q236" s="1" t="s">
        <v>513</v>
      </c>
      <c r="S236">
        <f t="shared" si="21"/>
        <v>0</v>
      </c>
      <c r="T236">
        <f t="shared" si="22"/>
        <v>24</v>
      </c>
    </row>
    <row r="237" spans="1:20" x14ac:dyDescent="0.3">
      <c r="A237" t="s">
        <v>67</v>
      </c>
      <c r="B237">
        <v>46</v>
      </c>
      <c r="C237" t="s">
        <v>71</v>
      </c>
      <c r="D237">
        <v>111</v>
      </c>
      <c r="E237">
        <f t="shared" si="19"/>
        <v>17</v>
      </c>
      <c r="F237" t="s">
        <v>11</v>
      </c>
      <c r="J237">
        <v>64951</v>
      </c>
      <c r="M237">
        <f t="shared" si="20"/>
        <v>1.2990200000000001E-3</v>
      </c>
      <c r="O237">
        <v>7198799</v>
      </c>
      <c r="P237">
        <v>55095296</v>
      </c>
      <c r="Q237" s="1" t="s">
        <v>514</v>
      </c>
      <c r="S237">
        <f t="shared" si="21"/>
        <v>0</v>
      </c>
      <c r="T237">
        <f t="shared" si="22"/>
        <v>0</v>
      </c>
    </row>
    <row r="238" spans="1:20" x14ac:dyDescent="0.3">
      <c r="A238" t="s">
        <v>67</v>
      </c>
      <c r="B238">
        <v>47</v>
      </c>
      <c r="C238" t="s">
        <v>70</v>
      </c>
      <c r="D238">
        <v>21</v>
      </c>
      <c r="E238">
        <f t="shared" si="19"/>
        <v>21</v>
      </c>
      <c r="F238" t="s">
        <v>15</v>
      </c>
      <c r="J238">
        <v>44114</v>
      </c>
      <c r="M238">
        <f t="shared" si="20"/>
        <v>8.8228000000000004E-4</v>
      </c>
      <c r="O238">
        <v>7198801</v>
      </c>
      <c r="P238">
        <v>55828480</v>
      </c>
      <c r="Q238" s="1" t="s">
        <v>591</v>
      </c>
      <c r="S238">
        <f t="shared" si="21"/>
        <v>0</v>
      </c>
      <c r="T238">
        <f t="shared" si="22"/>
        <v>0</v>
      </c>
    </row>
    <row r="239" spans="1:20" x14ac:dyDescent="0.3">
      <c r="A239" t="s">
        <v>67</v>
      </c>
      <c r="B239">
        <v>47</v>
      </c>
      <c r="C239" t="s">
        <v>70</v>
      </c>
      <c r="D239">
        <v>42</v>
      </c>
      <c r="E239">
        <f t="shared" si="19"/>
        <v>21</v>
      </c>
      <c r="F239" t="s">
        <v>14</v>
      </c>
      <c r="J239">
        <v>184434</v>
      </c>
      <c r="M239">
        <f t="shared" si="20"/>
        <v>3.6886800000000002E-3</v>
      </c>
      <c r="O239">
        <v>7198802</v>
      </c>
      <c r="P239">
        <v>55308288</v>
      </c>
      <c r="Q239" s="1" t="s">
        <v>611</v>
      </c>
      <c r="S239">
        <f t="shared" si="21"/>
        <v>21</v>
      </c>
      <c r="T239">
        <f t="shared" si="22"/>
        <v>0</v>
      </c>
    </row>
    <row r="240" spans="1:20" x14ac:dyDescent="0.3">
      <c r="A240" t="s">
        <v>67</v>
      </c>
      <c r="B240">
        <v>47</v>
      </c>
      <c r="C240" t="s">
        <v>70</v>
      </c>
      <c r="D240">
        <v>47</v>
      </c>
      <c r="E240">
        <f t="shared" si="19"/>
        <v>5</v>
      </c>
      <c r="F240" t="s">
        <v>13</v>
      </c>
      <c r="J240">
        <v>152307</v>
      </c>
      <c r="M240">
        <f t="shared" si="20"/>
        <v>3.0461400000000001E-3</v>
      </c>
      <c r="O240">
        <v>8687882</v>
      </c>
      <c r="P240">
        <v>55468032</v>
      </c>
      <c r="Q240" s="1" t="s">
        <v>515</v>
      </c>
      <c r="S240">
        <f t="shared" si="21"/>
        <v>0</v>
      </c>
      <c r="T240">
        <f t="shared" si="22"/>
        <v>0</v>
      </c>
    </row>
    <row r="241" spans="1:20" x14ac:dyDescent="0.3">
      <c r="A241" t="s">
        <v>67</v>
      </c>
      <c r="B241">
        <v>47</v>
      </c>
      <c r="C241" t="s">
        <v>70</v>
      </c>
      <c r="D241">
        <v>60</v>
      </c>
      <c r="E241">
        <f t="shared" si="19"/>
        <v>13</v>
      </c>
      <c r="F241" t="s">
        <v>12</v>
      </c>
      <c r="J241">
        <v>87951</v>
      </c>
      <c r="M241">
        <f t="shared" si="20"/>
        <v>1.75902E-3</v>
      </c>
      <c r="O241">
        <v>8687884</v>
      </c>
      <c r="P241">
        <v>55074816</v>
      </c>
      <c r="Q241" s="1" t="s">
        <v>516</v>
      </c>
      <c r="S241">
        <f t="shared" si="21"/>
        <v>0</v>
      </c>
      <c r="T241">
        <f t="shared" si="22"/>
        <v>13</v>
      </c>
    </row>
    <row r="242" spans="1:20" x14ac:dyDescent="0.3">
      <c r="A242" t="s">
        <v>67</v>
      </c>
      <c r="B242">
        <v>47</v>
      </c>
      <c r="C242" t="s">
        <v>70</v>
      </c>
      <c r="D242">
        <v>82</v>
      </c>
      <c r="E242">
        <f t="shared" si="19"/>
        <v>22</v>
      </c>
      <c r="F242" t="s">
        <v>11</v>
      </c>
      <c r="J242">
        <v>64951</v>
      </c>
      <c r="M242">
        <f t="shared" si="20"/>
        <v>1.2990200000000001E-3</v>
      </c>
      <c r="O242">
        <v>7198806</v>
      </c>
      <c r="P242">
        <v>55078912</v>
      </c>
      <c r="Q242" s="1" t="s">
        <v>517</v>
      </c>
      <c r="S242">
        <f t="shared" si="21"/>
        <v>0</v>
      </c>
      <c r="T242">
        <f t="shared" si="22"/>
        <v>0</v>
      </c>
    </row>
    <row r="243" spans="1:20" x14ac:dyDescent="0.3">
      <c r="A243" t="s">
        <v>67</v>
      </c>
      <c r="B243">
        <v>48</v>
      </c>
      <c r="C243" t="s">
        <v>69</v>
      </c>
      <c r="D243">
        <v>24</v>
      </c>
      <c r="E243">
        <f t="shared" si="19"/>
        <v>24</v>
      </c>
      <c r="F243" t="s">
        <v>15</v>
      </c>
      <c r="J243">
        <v>44114</v>
      </c>
      <c r="M243">
        <f t="shared" si="20"/>
        <v>8.8228000000000004E-4</v>
      </c>
      <c r="O243">
        <v>7198809</v>
      </c>
      <c r="P243">
        <v>54689792</v>
      </c>
      <c r="Q243" s="1" t="s">
        <v>612</v>
      </c>
      <c r="S243">
        <f t="shared" si="21"/>
        <v>0</v>
      </c>
      <c r="T243">
        <f t="shared" si="22"/>
        <v>0</v>
      </c>
    </row>
    <row r="244" spans="1:20" x14ac:dyDescent="0.3">
      <c r="A244" t="s">
        <v>67</v>
      </c>
      <c r="B244">
        <v>48</v>
      </c>
      <c r="C244" t="s">
        <v>69</v>
      </c>
      <c r="D244">
        <v>40</v>
      </c>
      <c r="E244">
        <f t="shared" si="19"/>
        <v>16</v>
      </c>
      <c r="F244" t="s">
        <v>14</v>
      </c>
      <c r="J244">
        <v>184446</v>
      </c>
      <c r="M244">
        <f t="shared" si="20"/>
        <v>3.68892E-3</v>
      </c>
      <c r="O244">
        <v>7198810</v>
      </c>
      <c r="P244">
        <v>54697984</v>
      </c>
      <c r="Q244" s="1" t="s">
        <v>613</v>
      </c>
      <c r="S244">
        <f t="shared" si="21"/>
        <v>16</v>
      </c>
      <c r="T244">
        <f t="shared" si="22"/>
        <v>0</v>
      </c>
    </row>
    <row r="245" spans="1:20" x14ac:dyDescent="0.3">
      <c r="A245" t="s">
        <v>67</v>
      </c>
      <c r="B245">
        <v>48</v>
      </c>
      <c r="C245" t="s">
        <v>69</v>
      </c>
      <c r="D245">
        <v>62</v>
      </c>
      <c r="E245">
        <f t="shared" si="19"/>
        <v>22</v>
      </c>
      <c r="F245" t="s">
        <v>13</v>
      </c>
      <c r="J245">
        <v>152319</v>
      </c>
      <c r="M245">
        <f t="shared" si="20"/>
        <v>3.04638E-3</v>
      </c>
      <c r="O245">
        <v>8687898</v>
      </c>
      <c r="P245">
        <v>54734848</v>
      </c>
      <c r="Q245" s="1" t="s">
        <v>518</v>
      </c>
      <c r="S245">
        <f t="shared" si="21"/>
        <v>0</v>
      </c>
      <c r="T245">
        <f t="shared" si="22"/>
        <v>0</v>
      </c>
    </row>
    <row r="246" spans="1:20" x14ac:dyDescent="0.3">
      <c r="A246" t="s">
        <v>67</v>
      </c>
      <c r="B246">
        <v>48</v>
      </c>
      <c r="C246" t="s">
        <v>69</v>
      </c>
      <c r="D246">
        <v>76</v>
      </c>
      <c r="E246">
        <f t="shared" si="19"/>
        <v>14</v>
      </c>
      <c r="F246" t="s">
        <v>12</v>
      </c>
      <c r="J246">
        <v>87951</v>
      </c>
      <c r="M246">
        <f t="shared" si="20"/>
        <v>1.75902E-3</v>
      </c>
      <c r="O246">
        <v>8687899</v>
      </c>
      <c r="P246">
        <v>55312384</v>
      </c>
      <c r="Q246" s="1" t="s">
        <v>519</v>
      </c>
      <c r="S246">
        <f t="shared" si="21"/>
        <v>0</v>
      </c>
      <c r="T246">
        <f t="shared" si="22"/>
        <v>14</v>
      </c>
    </row>
    <row r="247" spans="1:20" x14ac:dyDescent="0.3">
      <c r="A247" t="s">
        <v>67</v>
      </c>
      <c r="B247">
        <v>48</v>
      </c>
      <c r="C247" t="s">
        <v>69</v>
      </c>
      <c r="D247">
        <v>98</v>
      </c>
      <c r="E247">
        <f t="shared" si="19"/>
        <v>22</v>
      </c>
      <c r="F247" t="s">
        <v>11</v>
      </c>
      <c r="J247">
        <v>64951</v>
      </c>
      <c r="M247">
        <f t="shared" si="20"/>
        <v>1.2990200000000001E-3</v>
      </c>
      <c r="O247">
        <v>7198814</v>
      </c>
      <c r="P247">
        <v>55779328</v>
      </c>
      <c r="Q247" s="1" t="s">
        <v>520</v>
      </c>
      <c r="S247">
        <f t="shared" si="21"/>
        <v>0</v>
      </c>
      <c r="T247">
        <f t="shared" si="22"/>
        <v>0</v>
      </c>
    </row>
    <row r="248" spans="1:20" x14ac:dyDescent="0.3">
      <c r="A248" t="s">
        <v>67</v>
      </c>
      <c r="B248">
        <v>49</v>
      </c>
      <c r="C248" t="s">
        <v>68</v>
      </c>
      <c r="D248">
        <v>24</v>
      </c>
      <c r="E248">
        <f t="shared" si="19"/>
        <v>24</v>
      </c>
      <c r="F248" t="s">
        <v>15</v>
      </c>
      <c r="J248">
        <v>44114</v>
      </c>
      <c r="M248">
        <f t="shared" si="20"/>
        <v>8.8228000000000004E-4</v>
      </c>
      <c r="O248">
        <v>7198817</v>
      </c>
      <c r="P248">
        <v>55033856</v>
      </c>
      <c r="Q248" s="1" t="s">
        <v>614</v>
      </c>
      <c r="S248">
        <f t="shared" si="21"/>
        <v>0</v>
      </c>
      <c r="T248">
        <f t="shared" si="22"/>
        <v>0</v>
      </c>
    </row>
    <row r="249" spans="1:20" x14ac:dyDescent="0.3">
      <c r="A249" t="s">
        <v>67</v>
      </c>
      <c r="B249">
        <v>49</v>
      </c>
      <c r="C249" t="s">
        <v>68</v>
      </c>
      <c r="D249">
        <v>40</v>
      </c>
      <c r="E249">
        <f t="shared" si="19"/>
        <v>16</v>
      </c>
      <c r="F249" t="s">
        <v>14</v>
      </c>
      <c r="J249">
        <v>184446</v>
      </c>
      <c r="M249">
        <f t="shared" si="20"/>
        <v>3.68892E-3</v>
      </c>
      <c r="O249">
        <v>7198818</v>
      </c>
      <c r="P249">
        <v>55058432</v>
      </c>
      <c r="Q249" s="1" t="s">
        <v>615</v>
      </c>
      <c r="S249">
        <f t="shared" si="21"/>
        <v>16</v>
      </c>
      <c r="T249">
        <f t="shared" si="22"/>
        <v>0</v>
      </c>
    </row>
    <row r="250" spans="1:20" x14ac:dyDescent="0.3">
      <c r="A250" t="s">
        <v>67</v>
      </c>
      <c r="B250">
        <v>49</v>
      </c>
      <c r="C250" t="s">
        <v>68</v>
      </c>
      <c r="D250">
        <v>82</v>
      </c>
      <c r="E250">
        <f t="shared" si="19"/>
        <v>42</v>
      </c>
      <c r="F250" t="s">
        <v>13</v>
      </c>
      <c r="J250">
        <v>152319</v>
      </c>
      <c r="M250">
        <f t="shared" si="20"/>
        <v>3.04638E-3</v>
      </c>
      <c r="O250">
        <v>8687907</v>
      </c>
      <c r="P250">
        <v>54853632</v>
      </c>
      <c r="Q250" s="1" t="s">
        <v>521</v>
      </c>
      <c r="S250">
        <f t="shared" si="21"/>
        <v>0</v>
      </c>
      <c r="T250">
        <f t="shared" si="22"/>
        <v>0</v>
      </c>
    </row>
    <row r="251" spans="1:20" x14ac:dyDescent="0.3">
      <c r="A251" t="s">
        <v>67</v>
      </c>
      <c r="B251">
        <v>49</v>
      </c>
      <c r="C251" t="s">
        <v>68</v>
      </c>
      <c r="D251">
        <v>120</v>
      </c>
      <c r="E251">
        <f t="shared" si="19"/>
        <v>38</v>
      </c>
      <c r="F251" t="s">
        <v>12</v>
      </c>
      <c r="J251">
        <v>87951</v>
      </c>
      <c r="M251">
        <f t="shared" si="20"/>
        <v>1.75902E-3</v>
      </c>
      <c r="O251">
        <v>8687910</v>
      </c>
      <c r="P251">
        <v>55173120</v>
      </c>
      <c r="Q251" s="1" t="s">
        <v>522</v>
      </c>
      <c r="S251">
        <f t="shared" si="21"/>
        <v>0</v>
      </c>
      <c r="T251">
        <f t="shared" si="22"/>
        <v>38</v>
      </c>
    </row>
    <row r="252" spans="1:20" x14ac:dyDescent="0.3">
      <c r="A252" t="s">
        <v>67</v>
      </c>
      <c r="B252">
        <v>49</v>
      </c>
      <c r="C252" t="s">
        <v>68</v>
      </c>
      <c r="D252">
        <v>144</v>
      </c>
      <c r="E252">
        <f t="shared" si="19"/>
        <v>24</v>
      </c>
      <c r="F252" t="s">
        <v>11</v>
      </c>
      <c r="J252">
        <v>64951</v>
      </c>
      <c r="M252">
        <f t="shared" si="20"/>
        <v>1.2990200000000001E-3</v>
      </c>
      <c r="O252">
        <v>7198825</v>
      </c>
      <c r="P252">
        <v>55701504</v>
      </c>
      <c r="Q252" s="1" t="s">
        <v>523</v>
      </c>
      <c r="S252">
        <f t="shared" si="21"/>
        <v>0</v>
      </c>
      <c r="T252">
        <f t="shared" si="22"/>
        <v>0</v>
      </c>
    </row>
    <row r="253" spans="1:20" x14ac:dyDescent="0.3">
      <c r="S253">
        <f>AVERAGE(S3:S252)</f>
        <v>3.04</v>
      </c>
    </row>
  </sheetData>
  <autoFilter ref="A2:T252" xr:uid="{396D730F-C4C0-4122-A164-9397D5C5FE68}"/>
  <sortState xmlns:xlrd2="http://schemas.microsoft.com/office/spreadsheetml/2017/richdata2" ref="A3:Q506">
    <sortCondition ref="A3:A506"/>
    <sortCondition ref="B3:B506"/>
    <sortCondition ref="C3:C506"/>
    <sortCondition ref="D3:D506"/>
    <sortCondition ref="O3:O506"/>
  </sortState>
  <hyperlinks>
    <hyperlink ref="Q3" r:id="rId1" xr:uid="{44276881-60C9-4454-BB2C-0CFF191DB721}"/>
    <hyperlink ref="Q4" r:id="rId2" xr:uid="{88F4BF3A-6DAA-46CB-8522-597BFC70D1D1}"/>
    <hyperlink ref="Q7" r:id="rId3" xr:uid="{E6CDE63A-3900-456C-8AC1-314ED9862EE7}"/>
    <hyperlink ref="Q5" r:id="rId4" xr:uid="{8A164496-3F60-44BA-941F-67554985131B}"/>
    <hyperlink ref="Q6" r:id="rId5" xr:uid="{153743B0-FDA4-4F3C-BC35-857925E3ACFC}"/>
    <hyperlink ref="Q8" r:id="rId6" xr:uid="{F40EC193-512C-4DB0-8A85-4A34A91802AB}"/>
    <hyperlink ref="Q9" r:id="rId7" xr:uid="{424341A2-9F71-4632-B803-23C4EA192814}"/>
    <hyperlink ref="Q12" r:id="rId8" xr:uid="{9FDF6C82-872C-4EA4-A26F-8CD85639B1B1}"/>
    <hyperlink ref="Q10" r:id="rId9" xr:uid="{4369175C-97B5-4B7C-A1AA-B2F296E5B82B}"/>
    <hyperlink ref="Q11" r:id="rId10" xr:uid="{2DE20B94-B930-48D7-B5A3-477D77D80092}"/>
    <hyperlink ref="Q13" r:id="rId11" xr:uid="{9E83053D-9B28-4A00-90E4-97B5856CDD89}"/>
    <hyperlink ref="Q14" r:id="rId12" xr:uid="{6B727E68-0BB9-4D4C-8EFA-512A66B56879}"/>
    <hyperlink ref="Q17" r:id="rId13" xr:uid="{A53BB43D-4E67-4B87-B9CA-7D7A9BC27ABB}"/>
    <hyperlink ref="Q18" r:id="rId14" xr:uid="{D13E6A05-46BA-483E-833E-A7DFA7B99C18}"/>
    <hyperlink ref="Q19" r:id="rId15" xr:uid="{B67C914C-05CE-4082-8970-8DFFCBA8CA0E}"/>
    <hyperlink ref="Q22" r:id="rId16" xr:uid="{174A1153-9B9C-469F-B7EE-EB8A714440DC}"/>
    <hyperlink ref="Q23" r:id="rId17" xr:uid="{048ABED6-02C8-4870-B5E7-5DD765E9E755}"/>
    <hyperlink ref="Q24" r:id="rId18" xr:uid="{E6287F2E-9F6B-4754-BA9B-C7B994A48E2E}"/>
    <hyperlink ref="Q27" r:id="rId19" xr:uid="{22BB3221-BBCA-4881-BCBB-4C7BD7941110}"/>
    <hyperlink ref="Q28" r:id="rId20" xr:uid="{2E06F067-D4DF-4C85-8BFD-1086835414F7}"/>
    <hyperlink ref="Q29" r:id="rId21" xr:uid="{205A2FEB-328B-4F03-8FA6-46800D83432E}"/>
    <hyperlink ref="Q32" r:id="rId22" xr:uid="{8404B7A3-0DEA-44CC-8748-FAD7437D00F7}"/>
    <hyperlink ref="Q33" r:id="rId23" xr:uid="{310FAE9A-CE7B-4F33-86DF-82484BBE3860}"/>
    <hyperlink ref="Q34" r:id="rId24" xr:uid="{81667545-AB57-4D46-8964-8301BF41BF66}"/>
    <hyperlink ref="Q37" r:id="rId25" xr:uid="{7DEBA88F-346D-4CE4-8441-59A1E982E077}"/>
    <hyperlink ref="Q38" r:id="rId26" xr:uid="{1F917FD2-1196-4602-90DA-478E7DEC7E20}"/>
    <hyperlink ref="Q39" r:id="rId27" xr:uid="{C4C04038-D46E-43D3-A647-47E961D6383C}"/>
    <hyperlink ref="Q42" r:id="rId28" xr:uid="{F082999F-5F4F-4AAA-B71F-0B7E6254AE6D}"/>
    <hyperlink ref="Q43" r:id="rId29" xr:uid="{7A68895D-6D0B-4524-B19A-767AA414CC32}"/>
    <hyperlink ref="Q44" r:id="rId30" xr:uid="{612D7AE7-A84C-4E43-A3DF-186DB5B6202A}"/>
    <hyperlink ref="Q47" r:id="rId31" xr:uid="{427F4F35-F8B5-4E46-85CB-B205D4335C9A}"/>
    <hyperlink ref="Q48" r:id="rId32" xr:uid="{684BBA6D-15FE-48F9-854E-EE007540316E}"/>
    <hyperlink ref="Q49" r:id="rId33" xr:uid="{C3AC9261-AC5A-466A-A121-3D1CCC51B75D}"/>
    <hyperlink ref="Q52" r:id="rId34" xr:uid="{6AF8F4FB-D3B1-4355-A8A6-2870105CDE4E}"/>
    <hyperlink ref="Q53" r:id="rId35" xr:uid="{62AE79F9-62A6-45A6-88EE-020BEA4CCECF}"/>
    <hyperlink ref="Q54" r:id="rId36" xr:uid="{0792EFFD-54A1-4FF9-874D-7D688485D95E}"/>
    <hyperlink ref="Q57" r:id="rId37" xr:uid="{EE0AEF7B-B50D-43BD-B97D-E8D7A8420538}"/>
    <hyperlink ref="Q58" r:id="rId38" xr:uid="{2F24037E-0B8C-4E0B-92ED-24D126741A1F}"/>
    <hyperlink ref="Q59" r:id="rId39" xr:uid="{E4722A4E-8FFA-4D4D-86B0-FB2F80843384}"/>
    <hyperlink ref="Q62" r:id="rId40" xr:uid="{EDCD4F4E-8D21-421D-970B-33C79140048F}"/>
    <hyperlink ref="Q63" r:id="rId41" xr:uid="{FCA805A4-6A71-4941-9A69-C22FA6A1FEFB}"/>
    <hyperlink ref="Q64" r:id="rId42" xr:uid="{53E4EC3F-7F67-48E9-9CB5-56E4E723ECBF}"/>
    <hyperlink ref="Q67" r:id="rId43" xr:uid="{EECD0653-958A-4505-894B-9AA1D791C28F}"/>
    <hyperlink ref="Q68" r:id="rId44" xr:uid="{AA33F0CD-CFC9-40F1-9B98-A1C38B99FFD0}"/>
    <hyperlink ref="Q69" r:id="rId45" xr:uid="{4A118FD4-852B-4DDF-89E8-A80B6994244C}"/>
    <hyperlink ref="Q72" r:id="rId46" xr:uid="{BCCB1CF5-8134-4176-82E9-F381AFFD6776}"/>
    <hyperlink ref="Q73" r:id="rId47" xr:uid="{DEEDF636-AD98-4F79-9036-368E7BC98E65}"/>
    <hyperlink ref="Q74" r:id="rId48" xr:uid="{15139B1C-9EB9-4BE3-BCAE-6D998C762FCB}"/>
    <hyperlink ref="Q77" r:id="rId49" xr:uid="{7F30BB25-EA16-44AA-9666-F277F22B557F}"/>
    <hyperlink ref="Q78" r:id="rId50" xr:uid="{5B4583EC-2051-4451-A631-EA80AE723995}"/>
    <hyperlink ref="Q79" r:id="rId51" xr:uid="{E312B5D8-9D30-412B-BC08-22126C27BC7C}"/>
    <hyperlink ref="Q80" r:id="rId52" xr:uid="{DA852DAB-4075-4838-9CA1-08282B3E8D07}"/>
    <hyperlink ref="Q83" r:id="rId53" xr:uid="{C64B172F-EB8F-4BB0-81B4-0FA457121227}"/>
    <hyperlink ref="Q84" r:id="rId54" xr:uid="{159F187E-5BF6-4AFA-B8BF-24EFE6BE903E}"/>
    <hyperlink ref="Q85" r:id="rId55" xr:uid="{10BA89D7-7A8F-4A01-995C-11F38F3FEA40}"/>
    <hyperlink ref="Q88" r:id="rId56" xr:uid="{6F980CEC-7951-4A61-8001-A3C0ABA6B6CD}"/>
    <hyperlink ref="Q89" r:id="rId57" xr:uid="{FD00AFB4-3DC6-492C-A01A-10FF3AC98ECE}"/>
    <hyperlink ref="Q90" r:id="rId58" xr:uid="{B6789E8A-262E-4AC8-9766-71813FD97EC5}"/>
    <hyperlink ref="Q93" r:id="rId59" xr:uid="{0A617A95-7117-48BD-A89B-C655426DC642}"/>
    <hyperlink ref="Q94" r:id="rId60" xr:uid="{51E68308-2269-4EC2-AC8A-A567569EBEC9}"/>
    <hyperlink ref="Q95" r:id="rId61" xr:uid="{1F49EB29-A8DC-448F-920E-AF8FB4E0FDEA}"/>
    <hyperlink ref="Q98" r:id="rId62" xr:uid="{4753CF4E-636D-4091-BFE9-C8054B6B6E26}"/>
    <hyperlink ref="Q99" r:id="rId63" xr:uid="{A5F32223-E5C6-44B6-A981-07808135C23A}"/>
    <hyperlink ref="Q100" r:id="rId64" xr:uid="{18841658-0428-4FD5-9C64-27292C25D5BC}"/>
    <hyperlink ref="Q103" r:id="rId65" xr:uid="{1006D222-B871-4A29-A94D-4F8FB760392D}"/>
    <hyperlink ref="Q104" r:id="rId66" xr:uid="{F2226BF5-FA70-4E3C-B1B4-431321EE979B}"/>
    <hyperlink ref="Q105" r:id="rId67" xr:uid="{CFCD6E15-27F9-4D2A-90A3-AFF392D25232}"/>
    <hyperlink ref="Q108" r:id="rId68" xr:uid="{E3A3DA50-EE7C-45D3-B72E-95A4123AC4DB}"/>
    <hyperlink ref="Q109" r:id="rId69" xr:uid="{627EA60D-AD38-4BCA-87D8-9BF53FA74769}"/>
    <hyperlink ref="Q110" r:id="rId70" xr:uid="{038C6FAE-28E5-43EA-A691-756D3BB8C0C1}"/>
    <hyperlink ref="Q113" r:id="rId71" xr:uid="{86A40A44-38D0-4B11-AF3A-4FD18E329EBA}"/>
    <hyperlink ref="Q115" r:id="rId72" xr:uid="{77DD4318-6A61-4F7B-A923-BEF627AEA060}"/>
    <hyperlink ref="Q114" r:id="rId73" xr:uid="{A4F9CE98-CBC6-468D-929A-3A67169F360F}"/>
    <hyperlink ref="Q118" r:id="rId74" xr:uid="{30C05474-282C-45BF-810F-695D376C226E}"/>
    <hyperlink ref="Q119" r:id="rId75" xr:uid="{3B5DFAC0-6998-45D0-A56A-E4C8D204EDBD}"/>
    <hyperlink ref="Q120" r:id="rId76" xr:uid="{E992589C-0011-4B04-8E88-399F6FC7203D}"/>
    <hyperlink ref="Q123" r:id="rId77" xr:uid="{2AF849D8-4282-4750-A09A-E31AE1EC1730}"/>
    <hyperlink ref="Q124" r:id="rId78" xr:uid="{55E73CDE-2ADF-4A5F-B9D4-C1DAEA7CD0B4}"/>
    <hyperlink ref="Q125" r:id="rId79" xr:uid="{9696EE07-1478-4F82-BE5E-6D68913CD0D4}"/>
    <hyperlink ref="Q128" r:id="rId80" xr:uid="{04649E6E-0CE9-4E6B-BE37-4F8F50AEDB38}"/>
    <hyperlink ref="Q129" r:id="rId81" xr:uid="{8CA3BD62-BFE7-4A8D-8C99-6BC8D41FA8BE}"/>
    <hyperlink ref="Q130" r:id="rId82" xr:uid="{B41DC0DE-0747-4FD6-82A8-15D1FCFE8FB0}"/>
    <hyperlink ref="Q133" r:id="rId83" xr:uid="{204BE3F9-0B7B-40D9-8E80-ADA3187C6326}"/>
    <hyperlink ref="Q134" r:id="rId84" xr:uid="{49E2705D-A280-4F57-A69F-C997333597CA}"/>
    <hyperlink ref="Q135" r:id="rId85" xr:uid="{A8685956-8914-4DF7-8E03-9B9D568C15E1}"/>
    <hyperlink ref="Q138" r:id="rId86" xr:uid="{08632159-D1A7-4844-9969-5D20811E42F8}"/>
    <hyperlink ref="Q139" r:id="rId87" xr:uid="{BDFE2F13-899A-4ED6-9F8D-7E16041F8A3F}"/>
    <hyperlink ref="Q140" r:id="rId88" xr:uid="{972C5D15-103A-480D-98B9-2C80FBE31AD0}"/>
    <hyperlink ref="Q143" r:id="rId89" xr:uid="{697F257E-DE3E-4CFD-97E1-DB7F13FBB76F}"/>
    <hyperlink ref="Q144" r:id="rId90" xr:uid="{8CD41664-6C62-4EFD-B886-BCBAAD5B8DCD}"/>
    <hyperlink ref="Q145" r:id="rId91" xr:uid="{9F34939D-80B3-438E-A1AB-FE7E7AA9ED8B}"/>
    <hyperlink ref="Q148" r:id="rId92" xr:uid="{AD7328A7-D990-4EB5-AE3F-951DF94F9AAD}"/>
    <hyperlink ref="Q149" r:id="rId93" xr:uid="{CD18F956-DF44-4317-B60A-1CF6375C90C5}"/>
    <hyperlink ref="Q150" r:id="rId94" xr:uid="{7D3A99D0-D6B1-4FF2-97E9-17D95D9B1096}"/>
    <hyperlink ref="Q153" r:id="rId95" xr:uid="{BA8C4FE6-95C1-47C8-A5EE-1392932E8F55}"/>
    <hyperlink ref="Q154" r:id="rId96" xr:uid="{5B614139-D732-49D3-99E6-5E042C8AC690}"/>
    <hyperlink ref="Q155" r:id="rId97" xr:uid="{2B5AEEA6-7C5B-4911-99FD-F4922CD67D28}"/>
    <hyperlink ref="Q156" r:id="rId98" xr:uid="{92F50A19-70BF-4659-B27F-293D184B4FC5}"/>
    <hyperlink ref="Q159" r:id="rId99" xr:uid="{C0F18297-8C9E-49B5-9833-F81FA319111D}"/>
    <hyperlink ref="Q160" r:id="rId100" xr:uid="{9F6D620D-41CE-4581-A6BD-8BE19AB8F798}"/>
    <hyperlink ref="Q161" r:id="rId101" xr:uid="{46F13CC5-754F-4FE0-8C2F-0ED19338B089}"/>
    <hyperlink ref="Q164" r:id="rId102" xr:uid="{AB08481E-CA83-4E97-918F-8ED96260F161}"/>
    <hyperlink ref="Q165" r:id="rId103" xr:uid="{D739D440-3956-42F7-A7DE-6E9078F60C22}"/>
    <hyperlink ref="Q166" r:id="rId104" xr:uid="{C5F84C27-EB5A-4B6E-902B-C623A90587BA}"/>
    <hyperlink ref="Q169" r:id="rId105" xr:uid="{8F66AB05-8BD7-4E3E-A1A9-F5DA3533CA64}"/>
    <hyperlink ref="Q170" r:id="rId106" xr:uid="{FBDCEDF2-F6AF-4167-B6E9-7CBFB357426D}"/>
    <hyperlink ref="Q171" r:id="rId107" xr:uid="{7B4A5216-7EDA-4467-AF15-4DB7FEDBA6D1}"/>
    <hyperlink ref="Q174" r:id="rId108" xr:uid="{DDEE3F30-3EC6-4023-A484-9F9D5C735EF2}"/>
    <hyperlink ref="Q175" r:id="rId109" xr:uid="{F8222959-F426-491A-91CC-CB7AFA9C9427}"/>
    <hyperlink ref="Q176" r:id="rId110" xr:uid="{7450DE36-9795-44D9-8CDC-CA5B7306F82C}"/>
    <hyperlink ref="Q179" r:id="rId111" xr:uid="{76BEF0DC-9DD8-4213-A84E-FF2CA7A1D37A}"/>
    <hyperlink ref="Q180" r:id="rId112" xr:uid="{6588943A-B5DC-4B95-8D0A-74CA2C56E78E}"/>
    <hyperlink ref="Q181" r:id="rId113" xr:uid="{CAA3E8D1-7A2B-4955-8AF4-EA5A622FF48D}"/>
    <hyperlink ref="Q184" r:id="rId114" xr:uid="{421FB841-A9DE-464E-972A-E63ED5C1E188}"/>
    <hyperlink ref="Q185" r:id="rId115" xr:uid="{C41534BF-93CE-4637-93A1-6C723C7B121F}"/>
    <hyperlink ref="Q186" r:id="rId116" xr:uid="{DEF1B62C-740F-4E1B-A2C9-5816784050DE}"/>
    <hyperlink ref="Q189" r:id="rId117" xr:uid="{6C421A1B-CCB5-4AC3-88B1-BE25247AC590}"/>
    <hyperlink ref="Q190" r:id="rId118" xr:uid="{CD1674CC-DA5C-4B92-82B7-6B11CDF96229}"/>
    <hyperlink ref="Q191" r:id="rId119" xr:uid="{F6E98123-9913-4F71-9474-1DE1CED1F42F}"/>
    <hyperlink ref="Q194" r:id="rId120" xr:uid="{1E336402-4524-43B6-8751-9E25CB5766E9}"/>
    <hyperlink ref="Q195" r:id="rId121" xr:uid="{3EF8EEAA-9176-45CE-A258-EE0AAFA485AB}"/>
    <hyperlink ref="Q196" r:id="rId122" xr:uid="{1B64C849-7418-46D2-845C-A20D2B77B5D7}"/>
    <hyperlink ref="Q199" r:id="rId123" xr:uid="{247523EA-F059-4DAB-8C7C-1C3BFB939AA0}"/>
    <hyperlink ref="Q200" r:id="rId124" xr:uid="{AC1043D7-FF05-487D-8022-EEB483C71EC4}"/>
    <hyperlink ref="Q201" r:id="rId125" xr:uid="{7A9B75A2-E705-4C47-B4A1-7B406F4AD4EF}"/>
    <hyperlink ref="Q204" r:id="rId126" xr:uid="{849671A5-1DEE-46FC-9517-42BDEE14C4EB}"/>
    <hyperlink ref="Q205" r:id="rId127" xr:uid="{4BE8D6CA-9591-4611-B32E-D194F9B5F45E}"/>
    <hyperlink ref="Q206" r:id="rId128" xr:uid="{DCCB82BE-B19B-4074-B0CE-3D407C61A6CA}"/>
    <hyperlink ref="Q207" r:id="rId129" xr:uid="{A187FB19-93E5-4AA4-B780-7E27E7C74CF0}"/>
    <hyperlink ref="Q210" r:id="rId130" xr:uid="{8E2ECC83-0A77-4160-BF5A-04F98CFD033F}"/>
    <hyperlink ref="Q211" r:id="rId131" xr:uid="{A21DFDE5-D753-40D4-97ED-828CA74863BF}"/>
    <hyperlink ref="Q212" r:id="rId132" xr:uid="{FE857B7E-C7E6-4B63-84A2-5FC5BAA62E83}"/>
    <hyperlink ref="Q215" r:id="rId133" xr:uid="{D5677D4A-7002-467C-82CD-BFC747FD9B08}"/>
    <hyperlink ref="Q216" r:id="rId134" xr:uid="{472FC5F3-6CD1-4AED-9677-F26304660902}"/>
    <hyperlink ref="Q217" r:id="rId135" xr:uid="{303EA30C-16A3-4724-8512-B3630E29BEA0}"/>
    <hyperlink ref="Q220" r:id="rId136" xr:uid="{26D7F0AC-DB66-4BDD-9DC7-7B60C9ED62DD}"/>
    <hyperlink ref="Q221" r:id="rId137" xr:uid="{344D3162-C92F-4C66-AE54-9AB688369B2C}"/>
    <hyperlink ref="Q222" r:id="rId138" xr:uid="{80089A8E-69D0-4D40-BAA2-90BC7DDE1C49}"/>
    <hyperlink ref="Q225" r:id="rId139" xr:uid="{0EFB7223-BD8E-4F86-B515-BD81DBA817FC}"/>
    <hyperlink ref="Q226" r:id="rId140" xr:uid="{65A26063-2EF2-4562-8A01-8741911C2B4A}"/>
    <hyperlink ref="Q227" r:id="rId141" xr:uid="{34073298-128F-49BA-966B-C69FB5C15677}"/>
    <hyperlink ref="Q230" r:id="rId142" xr:uid="{D5B9B1A8-9731-44D3-8733-23D7BCD237A3}"/>
    <hyperlink ref="Q231" r:id="rId143" xr:uid="{661B6F13-6C3B-4E04-BEAD-813FFFD50C36}"/>
    <hyperlink ref="Q232" r:id="rId144" xr:uid="{AF0720CF-2740-4A81-A697-52F23F7D854E}"/>
    <hyperlink ref="Q235" r:id="rId145" xr:uid="{C68738B2-3A2A-4A6E-AFF8-07110B8FE59A}"/>
    <hyperlink ref="Q236" r:id="rId146" xr:uid="{7EEE8E2A-C513-41E9-8A9F-CC08EDB55407}"/>
    <hyperlink ref="Q237" r:id="rId147" xr:uid="{D9874693-3B86-48F0-81BE-11EE12463608}"/>
    <hyperlink ref="Q240" r:id="rId148" xr:uid="{F7310ED0-5420-40B4-A465-1E66A21695B7}"/>
    <hyperlink ref="Q241" r:id="rId149" xr:uid="{2B0C1102-D38E-4766-97EC-0ABEA9E9C2D4}"/>
    <hyperlink ref="Q242" r:id="rId150" xr:uid="{3C89997F-AAB5-426F-B40F-35BF88CB49F5}"/>
    <hyperlink ref="Q245" r:id="rId151" xr:uid="{CE6B9063-CD4D-4A65-90D1-AC5FD66164B0}"/>
    <hyperlink ref="Q246" r:id="rId152" xr:uid="{27B41370-5B5B-4089-8A32-507D2982485E}"/>
    <hyperlink ref="Q247" r:id="rId153" xr:uid="{7A055AE3-AE32-4F7C-9DAC-6B54E8F5D6E7}"/>
    <hyperlink ref="Q250" r:id="rId154" xr:uid="{507042B2-7E79-41F2-B9F7-FF64C162C90D}"/>
    <hyperlink ref="Q251" r:id="rId155" xr:uid="{47AA9486-62FB-499A-9EBE-3D6DE4833277}"/>
    <hyperlink ref="Q252" r:id="rId156" xr:uid="{29A08BC8-A98D-4FA4-9DD1-6F7D1E1F0690}"/>
    <hyperlink ref="Q15" r:id="rId157" xr:uid="{52076FD7-D340-4823-9C9B-40508D321675}"/>
    <hyperlink ref="Q16" r:id="rId158" xr:uid="{43E870DC-E608-4E44-84F2-0328A989E5FA}"/>
    <hyperlink ref="Q20" r:id="rId159" xr:uid="{2F838672-4889-4C0D-B682-7714B83EF7C7}"/>
    <hyperlink ref="Q21" r:id="rId160" xr:uid="{9660E8DE-8FA6-4131-AFD8-B6499BE4874F}"/>
    <hyperlink ref="Q25" r:id="rId161" xr:uid="{B938FF71-4CCA-4C95-B90E-B95462398D7A}"/>
    <hyperlink ref="Q26" r:id="rId162" xr:uid="{C7D3EE3C-0190-4A00-AABD-06EA41A22EAE}"/>
    <hyperlink ref="Q30" r:id="rId163" xr:uid="{38D1C6AC-FDD4-4423-839E-7DCDAE4E3AF3}"/>
    <hyperlink ref="Q31" r:id="rId164" xr:uid="{D0DABAF9-BDCB-4E9C-A6EB-DD01A7E84ABE}"/>
    <hyperlink ref="Q35" r:id="rId165" xr:uid="{B8A0E568-E1A8-4236-ADA8-2A12955994B7}"/>
    <hyperlink ref="Q36" r:id="rId166" xr:uid="{C870FBD5-7094-4C3F-A175-45B64C9A723B}"/>
    <hyperlink ref="Q40" r:id="rId167" xr:uid="{37DFF344-0237-4059-BD7F-EC3C733B44FF}"/>
    <hyperlink ref="Q41" r:id="rId168" xr:uid="{2C318D5C-E494-465C-8DCE-D37E89668078}"/>
    <hyperlink ref="Q45" r:id="rId169" xr:uid="{3A21DCAD-8A6A-4C9B-A880-79DF442AE867}"/>
    <hyperlink ref="Q46" r:id="rId170" xr:uid="{CF8D28DC-2039-4EAC-A28D-2E894F0B0BEE}"/>
    <hyperlink ref="Q50" r:id="rId171" xr:uid="{47E8E139-82A9-4EE0-9163-19F81AD878EE}"/>
    <hyperlink ref="Q51" r:id="rId172" xr:uid="{B79B097B-D641-4311-949E-BA95B48B3F12}"/>
    <hyperlink ref="Q55" r:id="rId173" xr:uid="{4D50A0F9-D2E5-4CFA-8B8E-CBB423A1949F}"/>
    <hyperlink ref="Q56" r:id="rId174" xr:uid="{EDA218EB-432C-472C-9656-EC897C4AE097}"/>
    <hyperlink ref="Q60" r:id="rId175" xr:uid="{75B6F817-8EC5-4432-9EB7-01E19CA11DC1}"/>
    <hyperlink ref="Q61" r:id="rId176" xr:uid="{3C360672-7631-4ABE-B9B2-928B29BB13DE}"/>
    <hyperlink ref="Q66" r:id="rId177" xr:uid="{601505FE-2B17-4E99-8B1A-B4465276622C}"/>
    <hyperlink ref="Q65" r:id="rId178" xr:uid="{4E36994F-9669-401D-9B3D-3845DA21F29B}"/>
    <hyperlink ref="Q70" r:id="rId179" xr:uid="{6083E0AC-C92E-418F-BB4C-177911948851}"/>
    <hyperlink ref="Q71" r:id="rId180" xr:uid="{3E646510-B485-49B2-A259-5DEF425CA462}"/>
    <hyperlink ref="Q75" r:id="rId181" xr:uid="{33A8A04D-834E-4DC0-913B-6B1C66460B54}"/>
    <hyperlink ref="Q76" r:id="rId182" xr:uid="{3A43BCC6-BD31-45F7-A4BD-483492C0A986}"/>
    <hyperlink ref="Q81" r:id="rId183" xr:uid="{38A1A2AF-DCE7-44C0-B06E-8A7F868B5FEC}"/>
    <hyperlink ref="Q82" r:id="rId184" xr:uid="{1CC60D6D-8DF0-4ACD-8053-C6A5EA767F22}"/>
    <hyperlink ref="Q86" r:id="rId185" xr:uid="{B5C3C55C-CF4E-4222-AEEF-07BEDCC84E5E}"/>
    <hyperlink ref="Q87" r:id="rId186" xr:uid="{17627FD1-9B4A-4D11-9733-1889E13F49D1}"/>
    <hyperlink ref="Q91" r:id="rId187" xr:uid="{64070783-BB99-4E58-90EF-009C815E6033}"/>
    <hyperlink ref="Q92" r:id="rId188" xr:uid="{4485A6D6-0239-44EE-AA32-DA2F98164A78}"/>
    <hyperlink ref="Q96" r:id="rId189" xr:uid="{FC081645-DC3E-422C-8572-DB7ECC2308C8}"/>
    <hyperlink ref="Q97" r:id="rId190" xr:uid="{26B6928B-C476-4915-8915-07273DD2BF33}"/>
    <hyperlink ref="Q101" r:id="rId191" xr:uid="{42F3AAE9-63DA-43C2-B3FA-0D8B4AD695D4}"/>
    <hyperlink ref="Q102" r:id="rId192" xr:uid="{AD97CA14-B006-4601-9EA6-78D74C98CC17}"/>
    <hyperlink ref="Q106" r:id="rId193" xr:uid="{9C6861FA-12E6-4892-AC04-69D320FC34AA}"/>
    <hyperlink ref="Q107" r:id="rId194" xr:uid="{640F2E77-E403-4040-AD24-204DD78DA498}"/>
    <hyperlink ref="Q111" r:id="rId195" xr:uid="{E5744508-E74D-4D9C-83DE-349F51134A14}"/>
    <hyperlink ref="Q112" r:id="rId196" xr:uid="{9CB0A28A-D42F-4B31-85E9-7BB7CABDD5C0}"/>
    <hyperlink ref="Q117" r:id="rId197" xr:uid="{C32EFE90-23E4-4287-A57E-8FDA0FF96DFD}"/>
    <hyperlink ref="Q116" r:id="rId198" xr:uid="{44CD3A9C-BFA2-43C0-8894-F4994612A17E}"/>
    <hyperlink ref="Q121" r:id="rId199" xr:uid="{43EBC9FB-1D0E-40FA-875E-0C3244935178}"/>
    <hyperlink ref="Q122" r:id="rId200" xr:uid="{FAB977EF-A030-4517-9F18-C4D1F390B56D}"/>
    <hyperlink ref="Q126" r:id="rId201" xr:uid="{C7856E5C-7368-4E7D-9820-3ABCC97D828F}"/>
    <hyperlink ref="Q127" r:id="rId202" xr:uid="{21784A6D-F368-4E0A-B435-725787C7185D}"/>
    <hyperlink ref="Q131" r:id="rId203" xr:uid="{20CA9A7D-EEF4-4A90-BA82-B39E332E7458}"/>
    <hyperlink ref="Q132" r:id="rId204" xr:uid="{24458C55-9565-42CD-9AEC-90387886B0D9}"/>
    <hyperlink ref="Q136" r:id="rId205" xr:uid="{10D8D6AC-9098-4FF5-86B8-8B6085F4F0ED}"/>
    <hyperlink ref="Q137" r:id="rId206" xr:uid="{CE675EF3-2FB4-4AE3-8504-09333AAF8286}"/>
    <hyperlink ref="Q141" r:id="rId207" xr:uid="{FAD71434-92B2-42CD-8C96-1AE128A05CA2}"/>
    <hyperlink ref="Q142" r:id="rId208" xr:uid="{13AF544A-2F6B-4CE3-8331-9DAEBB1A2D45}"/>
    <hyperlink ref="Q146" r:id="rId209" xr:uid="{08B436FC-BC77-4814-94C5-4A270BAB76EB}"/>
    <hyperlink ref="Q147" r:id="rId210" xr:uid="{C91ED9CC-1411-464C-AF4E-1731F13FAF2A}"/>
    <hyperlink ref="Q151" r:id="rId211" xr:uid="{F375C691-CE08-4BAB-A308-B5C40230C24F}"/>
    <hyperlink ref="Q152" r:id="rId212" xr:uid="{1450BF77-9154-4113-81B5-9302DA97FC94}"/>
    <hyperlink ref="Q157" r:id="rId213" xr:uid="{412FF097-FB1B-4AB7-9D77-8504B969BE1B}"/>
    <hyperlink ref="Q158" r:id="rId214" xr:uid="{07107C6A-D0EF-4F80-BA83-96CA3E6822ED}"/>
    <hyperlink ref="Q162" r:id="rId215" xr:uid="{A9FB437D-46C5-4293-B559-3CF78D67168B}"/>
    <hyperlink ref="Q163" r:id="rId216" xr:uid="{0000F7A1-2E85-4135-A659-884ECA6A73BF}"/>
    <hyperlink ref="Q167" r:id="rId217" xr:uid="{D41836B8-A4FF-4C67-BF43-12DC9B0C101B}"/>
    <hyperlink ref="Q168" r:id="rId218" xr:uid="{9D15FE39-C5F4-4BDE-9A94-438CD91D8CDE}"/>
    <hyperlink ref="Q172" r:id="rId219" xr:uid="{8C962137-FC63-4307-B725-1FEB262514D1}"/>
    <hyperlink ref="Q173" r:id="rId220" xr:uid="{765A590E-42F4-4DA5-A94C-B0ADBFCCA9B2}"/>
    <hyperlink ref="Q177" r:id="rId221" xr:uid="{9DFABBDC-CFC8-4ECC-97C0-77B25250C24F}"/>
    <hyperlink ref="Q178" r:id="rId222" xr:uid="{74906466-3641-4247-BB47-B3E8C2285D4B}"/>
    <hyperlink ref="Q182" r:id="rId223" xr:uid="{BB7F8A39-2A0B-4170-887C-7C49EC7EF44D}"/>
    <hyperlink ref="Q183" r:id="rId224" xr:uid="{E92DEA67-C433-4927-A779-F7D1F5538E8A}"/>
    <hyperlink ref="Q187" r:id="rId225" xr:uid="{45950C70-ADEF-4787-B13A-CF8D44679D86}"/>
    <hyperlink ref="Q188" r:id="rId226" xr:uid="{0ED453B6-2D75-4309-9E9D-FB84CECC0B7D}"/>
    <hyperlink ref="Q192" r:id="rId227" xr:uid="{89AA6601-329F-4ED4-BDD9-1CAFCAB0AD85}"/>
    <hyperlink ref="Q193" r:id="rId228" xr:uid="{70DD85E4-8BBF-4B48-99FD-C2E836EA2EB5}"/>
    <hyperlink ref="Q197" r:id="rId229" xr:uid="{E1D3ABC0-9620-4AD3-AD96-8938D5A93CA6}"/>
    <hyperlink ref="Q198" r:id="rId230" xr:uid="{FC3C950D-5913-4738-B7E5-0F9D375A7CC3}"/>
    <hyperlink ref="Q202" r:id="rId231" xr:uid="{4EA103FD-3ED4-4C77-B9F7-73679BF4E34F}"/>
    <hyperlink ref="Q203" r:id="rId232" xr:uid="{9D78F8D6-3881-4FA8-B824-D5DDA29FCBA1}"/>
    <hyperlink ref="Q208" r:id="rId233" xr:uid="{8A485AB6-BDD5-4346-A7C2-839E69C42081}"/>
    <hyperlink ref="Q209" r:id="rId234" xr:uid="{CAE41A7B-32B5-45C9-8868-B7AC69F5D64D}"/>
    <hyperlink ref="Q213" r:id="rId235" xr:uid="{6C8F6FCB-CFDA-4357-9C94-0120504CDA38}"/>
    <hyperlink ref="Q214" r:id="rId236" xr:uid="{4179B3E7-0107-4242-A7BB-28D551A8927B}"/>
    <hyperlink ref="Q218" r:id="rId237" xr:uid="{DB14F30C-8D53-4B02-9919-89996D72C1F0}"/>
    <hyperlink ref="Q219" r:id="rId238" xr:uid="{AE58642C-8E16-4F7E-9256-FF41A5034D11}"/>
    <hyperlink ref="Q223" r:id="rId239" xr:uid="{1FEB38EB-F44B-45EA-BFB3-A1FC39E891AA}"/>
    <hyperlink ref="Q224" r:id="rId240" xr:uid="{FAD36533-4C2F-46A8-9745-9B8B46E54139}"/>
    <hyperlink ref="Q228" r:id="rId241" xr:uid="{615C2578-0446-4B63-8BE8-6D46F3B11654}"/>
    <hyperlink ref="Q229" r:id="rId242" xr:uid="{72B4B467-2411-405E-A5B2-E795E4AD3468}"/>
    <hyperlink ref="Q233" r:id="rId243" xr:uid="{0C88D345-015E-4DA3-A6B9-3B9887F381D4}"/>
    <hyperlink ref="Q234" r:id="rId244" xr:uid="{B6548807-26CA-4E62-8EFE-300ABF8BDBA1}"/>
    <hyperlink ref="Q238" r:id="rId245" xr:uid="{3587F57B-FE30-4B89-9321-98415CEE74DD}"/>
    <hyperlink ref="Q239" r:id="rId246" xr:uid="{8EDD9496-7C0F-423D-AD9F-AFB4D4DDBDFC}"/>
    <hyperlink ref="Q243" r:id="rId247" xr:uid="{F56D0039-5538-4A21-8AC8-AE54BCBAA2BE}"/>
    <hyperlink ref="Q244" r:id="rId248" xr:uid="{740CC445-6000-4208-B623-1EE45050C29A}"/>
    <hyperlink ref="Q248" r:id="rId249" xr:uid="{B743CE41-9C4F-408C-A925-BF8ED3EB06D8}"/>
    <hyperlink ref="Q249" r:id="rId250" xr:uid="{367BF0F5-2608-4DE2-8595-D0E27FE6D23E}"/>
  </hyperlinks>
  <pageMargins left="0.7" right="0.7" top="0.75" bottom="0.75" header="0.3" footer="0.3"/>
  <pageSetup paperSize="9" orientation="portrait" r:id="rId25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23E4E-270B-4691-A0BC-05E6C4EB5F45}">
  <dimension ref="A1:R252"/>
  <sheetViews>
    <sheetView tabSelected="1" zoomScale="70" zoomScaleNormal="70" workbookViewId="0">
      <selection activeCell="L5" sqref="L5"/>
    </sheetView>
  </sheetViews>
  <sheetFormatPr defaultRowHeight="14.4" x14ac:dyDescent="0.3"/>
  <cols>
    <col min="1" max="1" width="15" bestFit="1" customWidth="1"/>
    <col min="2" max="2" width="3" bestFit="1" customWidth="1"/>
    <col min="3" max="3" width="26" bestFit="1" customWidth="1"/>
    <col min="4" max="4" width="13.6640625" bestFit="1" customWidth="1"/>
    <col min="5" max="5" width="13.6640625" customWidth="1"/>
    <col min="6" max="6" width="16.88671875" bestFit="1" customWidth="1"/>
    <col min="7" max="7" width="13.88671875" customWidth="1"/>
    <col min="8" max="8" width="20.109375" bestFit="1" customWidth="1"/>
    <col min="9" max="9" width="17.33203125" bestFit="1" customWidth="1"/>
    <col min="10" max="12" width="13.33203125" customWidth="1"/>
    <col min="13" max="13" width="17.33203125" customWidth="1"/>
    <col min="14" max="14" width="22.109375" bestFit="1" customWidth="1"/>
    <col min="15" max="15" width="17.44140625" bestFit="1" customWidth="1"/>
    <col min="16" max="16" width="110.6640625" bestFit="1" customWidth="1"/>
  </cols>
  <sheetData>
    <row r="1" spans="1:17" x14ac:dyDescent="0.3">
      <c r="I1" t="s">
        <v>619</v>
      </c>
      <c r="K1">
        <v>2E-8</v>
      </c>
    </row>
    <row r="2" spans="1:17" x14ac:dyDescent="0.3">
      <c r="A2" t="s">
        <v>0</v>
      </c>
      <c r="B2" t="s">
        <v>1</v>
      </c>
      <c r="C2" t="s">
        <v>2</v>
      </c>
      <c r="D2" t="s">
        <v>3</v>
      </c>
      <c r="E2" s="3" t="s">
        <v>133</v>
      </c>
      <c r="F2" t="s">
        <v>4</v>
      </c>
      <c r="G2" s="4" t="s">
        <v>618</v>
      </c>
      <c r="H2" s="4" t="s">
        <v>623</v>
      </c>
      <c r="I2" t="s">
        <v>5</v>
      </c>
      <c r="J2" s="4" t="s">
        <v>618</v>
      </c>
      <c r="K2" s="4"/>
      <c r="L2" s="4"/>
      <c r="M2" s="4" t="s">
        <v>134</v>
      </c>
      <c r="N2" t="s">
        <v>6</v>
      </c>
      <c r="O2" t="s">
        <v>7</v>
      </c>
      <c r="P2" t="s">
        <v>8</v>
      </c>
    </row>
    <row r="3" spans="1:17" x14ac:dyDescent="0.3">
      <c r="A3" t="s">
        <v>9</v>
      </c>
      <c r="B3">
        <v>0</v>
      </c>
      <c r="C3" t="s">
        <v>66</v>
      </c>
      <c r="D3">
        <v>34</v>
      </c>
      <c r="E3" s="2">
        <f>IF(B3&lt;&gt;B2,D3,D3-D2)</f>
        <v>34</v>
      </c>
      <c r="F3" t="s">
        <v>15</v>
      </c>
      <c r="G3">
        <f>AVERAGEIF(F3:F252,"approve",E3:E253)</f>
        <v>34.979999999999997</v>
      </c>
      <c r="H3">
        <f>_xlfn.STDEV.S(D3,D8,D13,D18,D23,D28,D33,D38,D43,D48,D53,D58,D63,D68,D73,D78,D83,D88,D93,D98,D103,D108,D113,D118,D123,D128,D133,D138,D143,D148,D153,D158,D163,D168,D173,D178,D183,D188,D193,D198,D203,D208,D213,D218,D223,D228,D233,D238,D243,D248)</f>
        <v>21.551542394729822</v>
      </c>
      <c r="I3">
        <v>44114</v>
      </c>
      <c r="J3">
        <f>AVERAGEIF(F3:F252,"approve",I3:I253)</f>
        <v>44114</v>
      </c>
      <c r="K3">
        <f>J3*$K$1</f>
        <v>8.8228000000000004E-4</v>
      </c>
      <c r="M3">
        <f>0.00000002*I3</f>
        <v>8.8228000000000004E-4</v>
      </c>
      <c r="N3">
        <v>8688074</v>
      </c>
      <c r="O3">
        <v>50417664</v>
      </c>
      <c r="P3" s="1" t="s">
        <v>123</v>
      </c>
    </row>
    <row r="4" spans="1:17" x14ac:dyDescent="0.3">
      <c r="A4" t="s">
        <v>9</v>
      </c>
      <c r="B4">
        <v>0</v>
      </c>
      <c r="C4" t="s">
        <v>66</v>
      </c>
      <c r="D4">
        <v>80</v>
      </c>
      <c r="E4" s="2">
        <f t="shared" ref="E4:E67" si="0">IF(B4&lt;&gt;B3,D4,D4-D3)</f>
        <v>46</v>
      </c>
      <c r="F4" t="s">
        <v>14</v>
      </c>
      <c r="G4">
        <f>AVERAGEIF(F3:F252,"exitTransaction",E3:E252)</f>
        <v>34.18</v>
      </c>
      <c r="H4">
        <f>_xlfn.STDEV.S(D4,D9,D14,D19,D24,D29,D34,D39,D44,D49,D54,D59,D64,D69,D74,D79,D84,D89,D94,D99,D104,D109,D114,D119,D124,D129,D134,D139,D144,D149,D154,D159,D164,D169,D174,D179,D184,D189,D194,D199,D204,D209,D214,D219,D224,D229,D234,D239,D244,D249)</f>
        <v>30.690927995492249</v>
      </c>
      <c r="I4">
        <v>184446</v>
      </c>
      <c r="J4">
        <f>AVERAGEIF(F3:F252,"exitTransaction",I3:I252)</f>
        <v>184444.56</v>
      </c>
      <c r="K4">
        <f t="shared" ref="K4:K7" si="1">J4*$K$1</f>
        <v>3.6888912000000002E-3</v>
      </c>
      <c r="L4">
        <f>CONFIDENCE(0.05,30.69,50)</f>
        <v>8.5066776738583201</v>
      </c>
      <c r="M4">
        <f t="shared" ref="M4:M67" si="2">0.00000002*I4</f>
        <v>3.68892E-3</v>
      </c>
      <c r="N4">
        <v>8688077</v>
      </c>
      <c r="O4">
        <v>50786304</v>
      </c>
      <c r="P4" s="1" t="s">
        <v>124</v>
      </c>
    </row>
    <row r="5" spans="1:17" x14ac:dyDescent="0.3">
      <c r="A5" t="s">
        <v>9</v>
      </c>
      <c r="B5">
        <v>0</v>
      </c>
      <c r="C5" t="s">
        <v>66</v>
      </c>
      <c r="D5">
        <v>96</v>
      </c>
      <c r="E5" s="2">
        <f t="shared" si="0"/>
        <v>16</v>
      </c>
      <c r="F5" t="s">
        <v>13</v>
      </c>
      <c r="G5">
        <f>AVERAGEIF(F3:F252,"add",E3:E252)</f>
        <v>18.86</v>
      </c>
      <c r="I5">
        <v>152307</v>
      </c>
      <c r="J5">
        <f>AVERAGEIF(F3:F252,"add",I3:I252)</f>
        <v>152316.12</v>
      </c>
      <c r="K5">
        <f t="shared" si="1"/>
        <v>3.0463223999999999E-3</v>
      </c>
      <c r="M5">
        <f t="shared" si="2"/>
        <v>3.0461400000000001E-3</v>
      </c>
      <c r="N5">
        <v>7198939</v>
      </c>
      <c r="O5">
        <v>50610176</v>
      </c>
      <c r="P5" s="1" t="s">
        <v>125</v>
      </c>
    </row>
    <row r="6" spans="1:17" x14ac:dyDescent="0.3">
      <c r="A6" t="s">
        <v>9</v>
      </c>
      <c r="B6">
        <v>0</v>
      </c>
      <c r="C6" t="s">
        <v>66</v>
      </c>
      <c r="D6">
        <v>115</v>
      </c>
      <c r="E6" s="2">
        <f>IF(B6&lt;&gt;B5,D6,D6-D5)</f>
        <v>19</v>
      </c>
      <c r="F6" t="s">
        <v>12</v>
      </c>
      <c r="G6">
        <f>AVERAGEIF(F3:F252,"entryTransaction",E3:E252)</f>
        <v>15.64</v>
      </c>
      <c r="H6">
        <f>_xlfn.STDEV.S(D6,D11,D16,D21,D26,D31,D36,D41,D46,D51,D56,D61,D66,D71,D76,D81,D86,D91,D96,D101,D106,D111,D116,D121,D126,D131,D136,D141,D146,D151,D156,D161,D166,D171,D176,D181,D186,D191,D196,D201,D206,D211,D216,D221,D226,D231,D236,D241,D246,D251)</f>
        <v>30.427303796533305</v>
      </c>
      <c r="I6">
        <v>87951</v>
      </c>
      <c r="J6">
        <f>AVERAGEIF(F3:F252,"entryTransaction",I3:I252)</f>
        <v>87949.32</v>
      </c>
      <c r="K6">
        <f t="shared" si="1"/>
        <v>1.7589864000000003E-3</v>
      </c>
      <c r="M6">
        <f t="shared" si="2"/>
        <v>1.75902E-3</v>
      </c>
      <c r="N6">
        <v>7198940</v>
      </c>
      <c r="O6">
        <v>51507200</v>
      </c>
      <c r="P6" s="1" t="s">
        <v>126</v>
      </c>
    </row>
    <row r="7" spans="1:17" x14ac:dyDescent="0.3">
      <c r="A7" t="s">
        <v>9</v>
      </c>
      <c r="B7">
        <v>0</v>
      </c>
      <c r="C7" t="s">
        <v>66</v>
      </c>
      <c r="D7">
        <v>191</v>
      </c>
      <c r="E7" s="2">
        <f t="shared" si="0"/>
        <v>76</v>
      </c>
      <c r="F7" t="s">
        <v>11</v>
      </c>
      <c r="G7">
        <f>AVERAGEIF(F3:F252,"update",E3:E252)</f>
        <v>37.68</v>
      </c>
      <c r="I7">
        <v>64939</v>
      </c>
      <c r="J7">
        <f>AVERAGEIF(F3:F252,"update",I3:I252)</f>
        <v>64949.08</v>
      </c>
      <c r="K7">
        <f t="shared" si="1"/>
        <v>1.2989816E-3</v>
      </c>
      <c r="M7">
        <f t="shared" si="2"/>
        <v>1.29878E-3</v>
      </c>
      <c r="N7">
        <v>8688086</v>
      </c>
      <c r="O7">
        <v>52400128</v>
      </c>
      <c r="P7" s="1" t="s">
        <v>127</v>
      </c>
      <c r="Q7" s="1"/>
    </row>
    <row r="8" spans="1:17" x14ac:dyDescent="0.3">
      <c r="A8" t="s">
        <v>9</v>
      </c>
      <c r="B8">
        <v>1</v>
      </c>
      <c r="C8" t="s">
        <v>65</v>
      </c>
      <c r="D8">
        <v>46</v>
      </c>
      <c r="E8" s="2">
        <f t="shared" si="0"/>
        <v>46</v>
      </c>
      <c r="F8" t="s">
        <v>15</v>
      </c>
      <c r="I8">
        <v>44114</v>
      </c>
      <c r="M8">
        <f t="shared" si="2"/>
        <v>8.8228000000000004E-4</v>
      </c>
      <c r="N8">
        <v>8688092</v>
      </c>
      <c r="O8">
        <v>55259136</v>
      </c>
      <c r="P8" s="1" t="s">
        <v>135</v>
      </c>
    </row>
    <row r="9" spans="1:17" x14ac:dyDescent="0.3">
      <c r="A9" t="s">
        <v>9</v>
      </c>
      <c r="B9">
        <v>1</v>
      </c>
      <c r="C9" t="s">
        <v>65</v>
      </c>
      <c r="D9">
        <v>84</v>
      </c>
      <c r="E9" s="2">
        <f t="shared" si="0"/>
        <v>38</v>
      </c>
      <c r="F9" t="s">
        <v>14</v>
      </c>
      <c r="I9">
        <v>184446</v>
      </c>
      <c r="M9">
        <f t="shared" si="2"/>
        <v>3.68892E-3</v>
      </c>
      <c r="N9">
        <v>8688094</v>
      </c>
      <c r="O9">
        <v>55005184</v>
      </c>
      <c r="P9" s="1" t="s">
        <v>136</v>
      </c>
      <c r="Q9" s="1"/>
    </row>
    <row r="10" spans="1:17" x14ac:dyDescent="0.3">
      <c r="A10" t="s">
        <v>9</v>
      </c>
      <c r="B10">
        <v>1</v>
      </c>
      <c r="C10" t="s">
        <v>65</v>
      </c>
      <c r="D10">
        <v>110</v>
      </c>
      <c r="E10" s="2">
        <f t="shared" si="0"/>
        <v>26</v>
      </c>
      <c r="F10" t="s">
        <v>13</v>
      </c>
      <c r="I10">
        <v>152319</v>
      </c>
      <c r="M10">
        <f t="shared" si="2"/>
        <v>3.04638E-3</v>
      </c>
      <c r="N10">
        <v>7198954</v>
      </c>
      <c r="O10">
        <v>55451648</v>
      </c>
      <c r="P10" s="1" t="s">
        <v>282</v>
      </c>
    </row>
    <row r="11" spans="1:17" x14ac:dyDescent="0.3">
      <c r="A11" t="s">
        <v>9</v>
      </c>
      <c r="B11">
        <v>1</v>
      </c>
      <c r="C11" t="s">
        <v>65</v>
      </c>
      <c r="D11">
        <v>124</v>
      </c>
      <c r="E11" s="2">
        <f t="shared" si="0"/>
        <v>14</v>
      </c>
      <c r="F11" t="s">
        <v>12</v>
      </c>
      <c r="G11">
        <f>G3+G4+G6</f>
        <v>84.8</v>
      </c>
      <c r="I11">
        <v>87951</v>
      </c>
      <c r="M11">
        <f t="shared" si="2"/>
        <v>1.75902E-3</v>
      </c>
      <c r="N11">
        <v>7198955</v>
      </c>
      <c r="O11">
        <v>54603776</v>
      </c>
      <c r="P11" s="1" t="s">
        <v>283</v>
      </c>
    </row>
    <row r="12" spans="1:17" x14ac:dyDescent="0.3">
      <c r="A12" t="s">
        <v>9</v>
      </c>
      <c r="B12">
        <v>1</v>
      </c>
      <c r="C12" t="s">
        <v>65</v>
      </c>
      <c r="D12">
        <v>146</v>
      </c>
      <c r="E12" s="2">
        <f t="shared" si="0"/>
        <v>22</v>
      </c>
      <c r="F12" t="s">
        <v>11</v>
      </c>
      <c r="I12">
        <v>64951</v>
      </c>
      <c r="M12">
        <f t="shared" si="2"/>
        <v>1.2990200000000001E-3</v>
      </c>
      <c r="N12">
        <v>8688099</v>
      </c>
      <c r="O12">
        <v>54697984</v>
      </c>
      <c r="P12" s="1" t="s">
        <v>137</v>
      </c>
    </row>
    <row r="13" spans="1:17" x14ac:dyDescent="0.3">
      <c r="A13" t="s">
        <v>9</v>
      </c>
      <c r="B13">
        <v>2</v>
      </c>
      <c r="C13" t="s">
        <v>64</v>
      </c>
      <c r="D13">
        <v>28</v>
      </c>
      <c r="E13" s="2">
        <f t="shared" si="0"/>
        <v>28</v>
      </c>
      <c r="F13" t="s">
        <v>15</v>
      </c>
      <c r="I13">
        <v>44114</v>
      </c>
      <c r="M13">
        <f t="shared" si="2"/>
        <v>8.8228000000000004E-4</v>
      </c>
      <c r="N13">
        <v>8688102</v>
      </c>
      <c r="O13">
        <v>54513664</v>
      </c>
      <c r="P13" s="1" t="s">
        <v>138</v>
      </c>
    </row>
    <row r="14" spans="1:17" x14ac:dyDescent="0.3">
      <c r="A14" t="s">
        <v>9</v>
      </c>
      <c r="B14">
        <v>2</v>
      </c>
      <c r="C14" t="s">
        <v>64</v>
      </c>
      <c r="D14">
        <v>58</v>
      </c>
      <c r="E14" s="2">
        <f t="shared" si="0"/>
        <v>30</v>
      </c>
      <c r="F14" t="s">
        <v>14</v>
      </c>
      <c r="I14">
        <v>184446</v>
      </c>
      <c r="M14">
        <f t="shared" si="2"/>
        <v>3.68892E-3</v>
      </c>
      <c r="N14">
        <v>8688105</v>
      </c>
      <c r="O14">
        <v>55185408</v>
      </c>
      <c r="P14" s="1" t="s">
        <v>139</v>
      </c>
    </row>
    <row r="15" spans="1:17" x14ac:dyDescent="0.3">
      <c r="A15" t="s">
        <v>9</v>
      </c>
      <c r="B15">
        <v>2</v>
      </c>
      <c r="C15" t="s">
        <v>64</v>
      </c>
      <c r="D15">
        <v>75</v>
      </c>
      <c r="E15" s="2">
        <f t="shared" si="0"/>
        <v>17</v>
      </c>
      <c r="F15" t="s">
        <v>13</v>
      </c>
      <c r="I15">
        <v>152319</v>
      </c>
      <c r="M15">
        <f t="shared" si="2"/>
        <v>3.04638E-3</v>
      </c>
      <c r="N15">
        <v>7198963</v>
      </c>
      <c r="O15">
        <v>55324672</v>
      </c>
      <c r="P15" s="1" t="s">
        <v>284</v>
      </c>
    </row>
    <row r="16" spans="1:17" x14ac:dyDescent="0.3">
      <c r="A16" t="s">
        <v>9</v>
      </c>
      <c r="B16">
        <v>2</v>
      </c>
      <c r="C16" t="s">
        <v>64</v>
      </c>
      <c r="D16">
        <v>90</v>
      </c>
      <c r="E16" s="2">
        <f t="shared" si="0"/>
        <v>15</v>
      </c>
      <c r="F16" t="s">
        <v>12</v>
      </c>
      <c r="I16">
        <v>87951</v>
      </c>
      <c r="M16">
        <f t="shared" si="2"/>
        <v>1.75902E-3</v>
      </c>
      <c r="N16">
        <v>7198964</v>
      </c>
      <c r="O16">
        <v>54427648</v>
      </c>
      <c r="P16" s="1" t="s">
        <v>285</v>
      </c>
    </row>
    <row r="17" spans="1:16" x14ac:dyDescent="0.3">
      <c r="A17" t="s">
        <v>9</v>
      </c>
      <c r="B17">
        <v>2</v>
      </c>
      <c r="C17" t="s">
        <v>64</v>
      </c>
      <c r="D17">
        <v>142</v>
      </c>
      <c r="E17" s="2">
        <f t="shared" si="0"/>
        <v>52</v>
      </c>
      <c r="F17" t="s">
        <v>11</v>
      </c>
      <c r="I17">
        <v>64951</v>
      </c>
      <c r="M17">
        <f t="shared" si="2"/>
        <v>1.2990200000000001E-3</v>
      </c>
      <c r="N17">
        <v>8688107</v>
      </c>
      <c r="O17">
        <v>54599680</v>
      </c>
      <c r="P17" s="1" t="s">
        <v>140</v>
      </c>
    </row>
    <row r="18" spans="1:16" x14ac:dyDescent="0.3">
      <c r="A18" t="s">
        <v>9</v>
      </c>
      <c r="B18">
        <v>3</v>
      </c>
      <c r="C18" t="s">
        <v>63</v>
      </c>
      <c r="D18">
        <v>40</v>
      </c>
      <c r="E18" s="2">
        <f t="shared" si="0"/>
        <v>40</v>
      </c>
      <c r="F18" t="s">
        <v>15</v>
      </c>
      <c r="I18">
        <v>44114</v>
      </c>
      <c r="M18">
        <f t="shared" si="2"/>
        <v>8.8228000000000004E-4</v>
      </c>
      <c r="N18">
        <v>8688113</v>
      </c>
      <c r="O18">
        <v>55439360</v>
      </c>
      <c r="P18" s="1" t="s">
        <v>141</v>
      </c>
    </row>
    <row r="19" spans="1:16" x14ac:dyDescent="0.3">
      <c r="A19" t="s">
        <v>9</v>
      </c>
      <c r="B19">
        <v>3</v>
      </c>
      <c r="C19" t="s">
        <v>63</v>
      </c>
      <c r="D19">
        <v>82</v>
      </c>
      <c r="E19" s="2">
        <f t="shared" si="0"/>
        <v>42</v>
      </c>
      <c r="F19" t="s">
        <v>14</v>
      </c>
      <c r="I19">
        <v>184446</v>
      </c>
      <c r="M19">
        <f t="shared" si="2"/>
        <v>3.68892E-3</v>
      </c>
      <c r="N19">
        <v>8688116</v>
      </c>
      <c r="O19">
        <v>55234560</v>
      </c>
      <c r="P19" s="1" t="s">
        <v>142</v>
      </c>
    </row>
    <row r="20" spans="1:16" x14ac:dyDescent="0.3">
      <c r="A20" t="s">
        <v>9</v>
      </c>
      <c r="B20">
        <v>3</v>
      </c>
      <c r="C20" t="s">
        <v>63</v>
      </c>
      <c r="D20">
        <v>103</v>
      </c>
      <c r="E20" s="2">
        <f t="shared" si="0"/>
        <v>21</v>
      </c>
      <c r="F20" t="s">
        <v>13</v>
      </c>
      <c r="I20">
        <v>152319</v>
      </c>
      <c r="M20">
        <f t="shared" si="2"/>
        <v>3.04638E-3</v>
      </c>
      <c r="N20">
        <v>7198976</v>
      </c>
      <c r="O20">
        <v>54808576</v>
      </c>
      <c r="P20" s="1" t="s">
        <v>286</v>
      </c>
    </row>
    <row r="21" spans="1:16" x14ac:dyDescent="0.3">
      <c r="A21" t="s">
        <v>9</v>
      </c>
      <c r="B21">
        <v>3</v>
      </c>
      <c r="C21" t="s">
        <v>63</v>
      </c>
      <c r="D21">
        <v>117</v>
      </c>
      <c r="E21" s="2">
        <f t="shared" si="0"/>
        <v>14</v>
      </c>
      <c r="F21" t="s">
        <v>12</v>
      </c>
      <c r="I21">
        <v>87951</v>
      </c>
      <c r="M21">
        <f t="shared" si="2"/>
        <v>1.75902E-3</v>
      </c>
      <c r="N21">
        <v>7198977</v>
      </c>
      <c r="O21">
        <v>55517184</v>
      </c>
      <c r="P21" s="1" t="s">
        <v>287</v>
      </c>
    </row>
    <row r="22" spans="1:16" x14ac:dyDescent="0.3">
      <c r="A22" t="s">
        <v>9</v>
      </c>
      <c r="B22">
        <v>3</v>
      </c>
      <c r="C22" t="s">
        <v>63</v>
      </c>
      <c r="D22">
        <v>133</v>
      </c>
      <c r="E22" s="2">
        <f t="shared" si="0"/>
        <v>16</v>
      </c>
      <c r="F22" t="s">
        <v>11</v>
      </c>
      <c r="I22">
        <v>64951</v>
      </c>
      <c r="M22">
        <f t="shared" si="2"/>
        <v>1.2990200000000001E-3</v>
      </c>
      <c r="N22">
        <v>8688124</v>
      </c>
      <c r="O22">
        <v>55451648</v>
      </c>
      <c r="P22" s="1" t="s">
        <v>143</v>
      </c>
    </row>
    <row r="23" spans="1:16" x14ac:dyDescent="0.3">
      <c r="A23" t="s">
        <v>9</v>
      </c>
      <c r="B23">
        <v>4</v>
      </c>
      <c r="C23" t="s">
        <v>62</v>
      </c>
      <c r="D23">
        <v>26</v>
      </c>
      <c r="E23" s="2">
        <f t="shared" si="0"/>
        <v>26</v>
      </c>
      <c r="F23" t="s">
        <v>15</v>
      </c>
      <c r="I23">
        <v>44114</v>
      </c>
      <c r="M23">
        <f t="shared" si="2"/>
        <v>8.8228000000000004E-4</v>
      </c>
      <c r="N23">
        <v>8688130</v>
      </c>
      <c r="O23">
        <v>55119872</v>
      </c>
      <c r="P23" s="1" t="s">
        <v>144</v>
      </c>
    </row>
    <row r="24" spans="1:16" x14ac:dyDescent="0.3">
      <c r="A24" t="s">
        <v>9</v>
      </c>
      <c r="B24">
        <v>4</v>
      </c>
      <c r="C24" t="s">
        <v>62</v>
      </c>
      <c r="D24">
        <v>72</v>
      </c>
      <c r="E24" s="2">
        <f t="shared" si="0"/>
        <v>46</v>
      </c>
      <c r="F24" t="s">
        <v>14</v>
      </c>
      <c r="I24">
        <v>184446</v>
      </c>
      <c r="M24">
        <f t="shared" si="2"/>
        <v>3.68892E-3</v>
      </c>
      <c r="N24">
        <v>8688134</v>
      </c>
      <c r="O24">
        <v>55943168</v>
      </c>
      <c r="P24" s="1" t="s">
        <v>145</v>
      </c>
    </row>
    <row r="25" spans="1:16" x14ac:dyDescent="0.3">
      <c r="A25" t="s">
        <v>9</v>
      </c>
      <c r="B25">
        <v>4</v>
      </c>
      <c r="C25" t="s">
        <v>62</v>
      </c>
      <c r="D25">
        <v>98</v>
      </c>
      <c r="E25" s="2">
        <f t="shared" si="0"/>
        <v>26</v>
      </c>
      <c r="F25" t="s">
        <v>13</v>
      </c>
      <c r="I25">
        <v>152319</v>
      </c>
      <c r="M25">
        <f t="shared" si="2"/>
        <v>3.04638E-3</v>
      </c>
      <c r="N25">
        <v>7198986</v>
      </c>
      <c r="O25">
        <v>55455744</v>
      </c>
      <c r="P25" s="1" t="s">
        <v>288</v>
      </c>
    </row>
    <row r="26" spans="1:16" x14ac:dyDescent="0.3">
      <c r="A26" t="s">
        <v>9</v>
      </c>
      <c r="B26">
        <v>4</v>
      </c>
      <c r="C26" t="s">
        <v>62</v>
      </c>
      <c r="D26">
        <v>112</v>
      </c>
      <c r="E26" s="2">
        <f t="shared" si="0"/>
        <v>14</v>
      </c>
      <c r="F26" t="s">
        <v>12</v>
      </c>
      <c r="I26">
        <v>87951</v>
      </c>
      <c r="M26">
        <f t="shared" si="2"/>
        <v>1.75902E-3</v>
      </c>
      <c r="N26">
        <v>7198987</v>
      </c>
      <c r="O26">
        <v>56025088</v>
      </c>
      <c r="P26" s="1" t="s">
        <v>289</v>
      </c>
    </row>
    <row r="27" spans="1:16" x14ac:dyDescent="0.3">
      <c r="A27" t="s">
        <v>9</v>
      </c>
      <c r="B27">
        <v>4</v>
      </c>
      <c r="C27" t="s">
        <v>62</v>
      </c>
      <c r="D27">
        <v>201</v>
      </c>
      <c r="E27" s="2">
        <f t="shared" si="0"/>
        <v>89</v>
      </c>
      <c r="F27" t="s">
        <v>11</v>
      </c>
      <c r="I27">
        <v>64951</v>
      </c>
      <c r="M27">
        <f t="shared" si="2"/>
        <v>1.2990200000000001E-3</v>
      </c>
      <c r="N27">
        <v>8688146</v>
      </c>
      <c r="O27">
        <v>56385536</v>
      </c>
      <c r="P27" s="1" t="s">
        <v>146</v>
      </c>
    </row>
    <row r="28" spans="1:16" x14ac:dyDescent="0.3">
      <c r="A28" t="s">
        <v>9</v>
      </c>
      <c r="B28">
        <v>5</v>
      </c>
      <c r="C28" t="s">
        <v>61</v>
      </c>
      <c r="D28">
        <v>18</v>
      </c>
      <c r="E28" s="2">
        <f t="shared" si="0"/>
        <v>18</v>
      </c>
      <c r="F28" t="s">
        <v>15</v>
      </c>
      <c r="I28">
        <v>44114</v>
      </c>
      <c r="M28">
        <f t="shared" si="2"/>
        <v>8.8228000000000004E-4</v>
      </c>
      <c r="N28">
        <v>8688152</v>
      </c>
      <c r="O28">
        <v>56995840</v>
      </c>
      <c r="P28" s="1" t="s">
        <v>147</v>
      </c>
    </row>
    <row r="29" spans="1:16" x14ac:dyDescent="0.3">
      <c r="A29" t="s">
        <v>9</v>
      </c>
      <c r="B29">
        <v>5</v>
      </c>
      <c r="C29" t="s">
        <v>61</v>
      </c>
      <c r="D29">
        <v>44</v>
      </c>
      <c r="E29" s="2">
        <f t="shared" si="0"/>
        <v>26</v>
      </c>
      <c r="F29" t="s">
        <v>14</v>
      </c>
      <c r="I29">
        <v>184446</v>
      </c>
      <c r="M29">
        <f t="shared" si="2"/>
        <v>3.68892E-3</v>
      </c>
      <c r="N29">
        <v>8688154</v>
      </c>
      <c r="O29">
        <v>57671680</v>
      </c>
      <c r="P29" s="1" t="s">
        <v>148</v>
      </c>
    </row>
    <row r="30" spans="1:16" x14ac:dyDescent="0.3">
      <c r="A30" t="s">
        <v>9</v>
      </c>
      <c r="B30">
        <v>5</v>
      </c>
      <c r="C30" t="s">
        <v>61</v>
      </c>
      <c r="D30">
        <v>70</v>
      </c>
      <c r="E30" s="2">
        <f t="shared" si="0"/>
        <v>26</v>
      </c>
      <c r="F30" t="s">
        <v>13</v>
      </c>
      <c r="I30">
        <v>152319</v>
      </c>
      <c r="M30">
        <f t="shared" si="2"/>
        <v>3.04638E-3</v>
      </c>
      <c r="N30">
        <v>7198999</v>
      </c>
      <c r="O30">
        <v>58159104</v>
      </c>
      <c r="P30" s="1" t="s">
        <v>290</v>
      </c>
    </row>
    <row r="31" spans="1:16" x14ac:dyDescent="0.3">
      <c r="A31" t="s">
        <v>9</v>
      </c>
      <c r="B31">
        <v>5</v>
      </c>
      <c r="C31" t="s">
        <v>61</v>
      </c>
      <c r="D31">
        <v>81</v>
      </c>
      <c r="E31" s="2">
        <f t="shared" si="0"/>
        <v>11</v>
      </c>
      <c r="F31" t="s">
        <v>12</v>
      </c>
      <c r="I31">
        <v>87951</v>
      </c>
      <c r="M31">
        <f t="shared" si="2"/>
        <v>1.75902E-3</v>
      </c>
      <c r="N31">
        <v>7199000</v>
      </c>
      <c r="O31">
        <v>57647104</v>
      </c>
      <c r="P31" s="1" t="s">
        <v>291</v>
      </c>
    </row>
    <row r="32" spans="1:16" x14ac:dyDescent="0.3">
      <c r="A32" t="s">
        <v>9</v>
      </c>
      <c r="B32">
        <v>5</v>
      </c>
      <c r="C32" t="s">
        <v>61</v>
      </c>
      <c r="D32">
        <v>105</v>
      </c>
      <c r="E32" s="2">
        <f t="shared" si="0"/>
        <v>24</v>
      </c>
      <c r="F32" t="s">
        <v>11</v>
      </c>
      <c r="I32">
        <v>64951</v>
      </c>
      <c r="M32">
        <f t="shared" si="2"/>
        <v>1.2990200000000001E-3</v>
      </c>
      <c r="N32">
        <v>8688157</v>
      </c>
      <c r="O32">
        <v>57495552</v>
      </c>
      <c r="P32" s="1" t="s">
        <v>149</v>
      </c>
    </row>
    <row r="33" spans="1:16" x14ac:dyDescent="0.3">
      <c r="A33" t="s">
        <v>9</v>
      </c>
      <c r="B33">
        <v>6</v>
      </c>
      <c r="C33" t="s">
        <v>60</v>
      </c>
      <c r="D33">
        <v>36</v>
      </c>
      <c r="E33" s="2">
        <f t="shared" si="0"/>
        <v>36</v>
      </c>
      <c r="F33" t="s">
        <v>15</v>
      </c>
      <c r="I33">
        <v>44114</v>
      </c>
      <c r="M33">
        <f t="shared" si="2"/>
        <v>8.8228000000000004E-4</v>
      </c>
      <c r="N33">
        <v>8688159</v>
      </c>
      <c r="O33">
        <v>57552896</v>
      </c>
      <c r="P33" s="1" t="s">
        <v>150</v>
      </c>
    </row>
    <row r="34" spans="1:16" x14ac:dyDescent="0.3">
      <c r="A34" t="s">
        <v>9</v>
      </c>
      <c r="B34">
        <v>6</v>
      </c>
      <c r="C34" t="s">
        <v>60</v>
      </c>
      <c r="D34">
        <v>80</v>
      </c>
      <c r="E34" s="2">
        <f t="shared" si="0"/>
        <v>44</v>
      </c>
      <c r="F34" t="s">
        <v>14</v>
      </c>
      <c r="I34">
        <v>184446</v>
      </c>
      <c r="M34">
        <f t="shared" si="2"/>
        <v>3.68892E-3</v>
      </c>
      <c r="N34">
        <v>8688163</v>
      </c>
      <c r="O34">
        <v>58093568</v>
      </c>
      <c r="P34" s="1" t="s">
        <v>151</v>
      </c>
    </row>
    <row r="35" spans="1:16" x14ac:dyDescent="0.3">
      <c r="A35" t="s">
        <v>9</v>
      </c>
      <c r="B35">
        <v>6</v>
      </c>
      <c r="C35" t="s">
        <v>60</v>
      </c>
      <c r="D35">
        <v>106</v>
      </c>
      <c r="E35" s="2">
        <f t="shared" si="0"/>
        <v>26</v>
      </c>
      <c r="F35" t="s">
        <v>13</v>
      </c>
      <c r="I35">
        <v>152319</v>
      </c>
      <c r="M35">
        <f t="shared" si="2"/>
        <v>3.04638E-3</v>
      </c>
      <c r="N35">
        <v>7199010</v>
      </c>
      <c r="O35">
        <v>57466880</v>
      </c>
      <c r="P35" s="1" t="s">
        <v>292</v>
      </c>
    </row>
    <row r="36" spans="1:16" x14ac:dyDescent="0.3">
      <c r="A36" t="s">
        <v>9</v>
      </c>
      <c r="B36">
        <v>6</v>
      </c>
      <c r="C36" t="s">
        <v>60</v>
      </c>
      <c r="D36">
        <v>120</v>
      </c>
      <c r="E36" s="2">
        <f t="shared" si="0"/>
        <v>14</v>
      </c>
      <c r="F36" t="s">
        <v>12</v>
      </c>
      <c r="I36">
        <v>87951</v>
      </c>
      <c r="M36">
        <f t="shared" si="2"/>
        <v>1.75902E-3</v>
      </c>
      <c r="N36">
        <v>7199011</v>
      </c>
      <c r="O36">
        <v>57888768</v>
      </c>
      <c r="P36" s="1" t="s">
        <v>293</v>
      </c>
    </row>
    <row r="37" spans="1:16" x14ac:dyDescent="0.3">
      <c r="A37" t="s">
        <v>9</v>
      </c>
      <c r="B37">
        <v>6</v>
      </c>
      <c r="C37" t="s">
        <v>60</v>
      </c>
      <c r="D37">
        <v>138</v>
      </c>
      <c r="E37" s="2">
        <f t="shared" si="0"/>
        <v>18</v>
      </c>
      <c r="F37" t="s">
        <v>11</v>
      </c>
      <c r="I37">
        <v>64951</v>
      </c>
      <c r="M37">
        <f t="shared" si="2"/>
        <v>1.2990200000000001E-3</v>
      </c>
      <c r="N37">
        <v>8688170</v>
      </c>
      <c r="O37">
        <v>57573376</v>
      </c>
      <c r="P37" s="1" t="s">
        <v>152</v>
      </c>
    </row>
    <row r="38" spans="1:16" x14ac:dyDescent="0.3">
      <c r="A38" t="s">
        <v>9</v>
      </c>
      <c r="B38">
        <v>7</v>
      </c>
      <c r="C38" t="s">
        <v>59</v>
      </c>
      <c r="D38">
        <v>84</v>
      </c>
      <c r="E38" s="2">
        <f t="shared" si="0"/>
        <v>84</v>
      </c>
      <c r="F38" t="s">
        <v>15</v>
      </c>
      <c r="I38">
        <v>44114</v>
      </c>
      <c r="M38">
        <f t="shared" si="2"/>
        <v>8.8228000000000004E-4</v>
      </c>
      <c r="N38">
        <v>8688179</v>
      </c>
      <c r="O38">
        <v>57888768</v>
      </c>
      <c r="P38" s="1" t="s">
        <v>153</v>
      </c>
    </row>
    <row r="39" spans="1:16" x14ac:dyDescent="0.3">
      <c r="A39" t="s">
        <v>9</v>
      </c>
      <c r="B39">
        <v>7</v>
      </c>
      <c r="C39" t="s">
        <v>59</v>
      </c>
      <c r="D39">
        <v>120</v>
      </c>
      <c r="E39" s="2">
        <f t="shared" si="0"/>
        <v>36</v>
      </c>
      <c r="F39" t="s">
        <v>14</v>
      </c>
      <c r="I39">
        <v>184446</v>
      </c>
      <c r="M39">
        <f t="shared" si="2"/>
        <v>3.68892E-3</v>
      </c>
      <c r="N39">
        <v>8688183</v>
      </c>
      <c r="O39">
        <v>57540608</v>
      </c>
      <c r="P39" s="1" t="s">
        <v>154</v>
      </c>
    </row>
    <row r="40" spans="1:16" x14ac:dyDescent="0.3">
      <c r="A40" t="s">
        <v>9</v>
      </c>
      <c r="B40">
        <v>7</v>
      </c>
      <c r="C40" t="s">
        <v>59</v>
      </c>
      <c r="D40">
        <v>141</v>
      </c>
      <c r="E40" s="2">
        <f t="shared" si="0"/>
        <v>21</v>
      </c>
      <c r="F40" t="s">
        <v>13</v>
      </c>
      <c r="I40">
        <v>152319</v>
      </c>
      <c r="M40">
        <f t="shared" si="2"/>
        <v>3.04638E-3</v>
      </c>
      <c r="N40">
        <v>7199023</v>
      </c>
      <c r="O40">
        <v>57622528</v>
      </c>
      <c r="P40" s="1" t="s">
        <v>294</v>
      </c>
    </row>
    <row r="41" spans="1:16" x14ac:dyDescent="0.3">
      <c r="A41" t="s">
        <v>9</v>
      </c>
      <c r="B41">
        <v>7</v>
      </c>
      <c r="C41" t="s">
        <v>59</v>
      </c>
      <c r="D41">
        <v>155</v>
      </c>
      <c r="E41" s="2">
        <f t="shared" si="0"/>
        <v>14</v>
      </c>
      <c r="F41" t="s">
        <v>12</v>
      </c>
      <c r="I41">
        <v>87951</v>
      </c>
      <c r="M41">
        <f t="shared" si="2"/>
        <v>1.75902E-3</v>
      </c>
      <c r="N41">
        <v>7199024</v>
      </c>
      <c r="O41">
        <v>57974784</v>
      </c>
      <c r="P41" s="1" t="s">
        <v>295</v>
      </c>
    </row>
    <row r="42" spans="1:16" x14ac:dyDescent="0.3">
      <c r="A42" t="s">
        <v>9</v>
      </c>
      <c r="B42">
        <v>7</v>
      </c>
      <c r="C42" t="s">
        <v>59</v>
      </c>
      <c r="D42">
        <v>179</v>
      </c>
      <c r="E42" s="2">
        <f t="shared" si="0"/>
        <v>24</v>
      </c>
      <c r="F42" t="s">
        <v>11</v>
      </c>
      <c r="I42">
        <v>64951</v>
      </c>
      <c r="M42">
        <f t="shared" si="2"/>
        <v>1.2990200000000001E-3</v>
      </c>
      <c r="N42">
        <v>8688186</v>
      </c>
      <c r="O42">
        <v>57995264</v>
      </c>
      <c r="P42" s="1" t="s">
        <v>155</v>
      </c>
    </row>
    <row r="43" spans="1:16" x14ac:dyDescent="0.3">
      <c r="A43" t="s">
        <v>9</v>
      </c>
      <c r="B43">
        <v>8</v>
      </c>
      <c r="C43" t="s">
        <v>58</v>
      </c>
      <c r="D43">
        <v>20</v>
      </c>
      <c r="E43" s="2">
        <f t="shared" si="0"/>
        <v>20</v>
      </c>
      <c r="F43" t="s">
        <v>15</v>
      </c>
      <c r="I43">
        <v>44114</v>
      </c>
      <c r="M43">
        <f t="shared" si="2"/>
        <v>8.8228000000000004E-4</v>
      </c>
      <c r="N43">
        <v>8688188</v>
      </c>
      <c r="O43">
        <v>57896960</v>
      </c>
      <c r="P43" s="1" t="s">
        <v>156</v>
      </c>
    </row>
    <row r="44" spans="1:16" x14ac:dyDescent="0.3">
      <c r="A44" t="s">
        <v>9</v>
      </c>
      <c r="B44">
        <v>8</v>
      </c>
      <c r="C44" t="s">
        <v>58</v>
      </c>
      <c r="D44">
        <v>32</v>
      </c>
      <c r="E44" s="2">
        <f t="shared" si="0"/>
        <v>12</v>
      </c>
      <c r="F44" t="s">
        <v>14</v>
      </c>
      <c r="I44">
        <v>184446</v>
      </c>
      <c r="M44">
        <f t="shared" si="2"/>
        <v>3.68892E-3</v>
      </c>
      <c r="N44">
        <v>8688189</v>
      </c>
      <c r="O44">
        <v>57782272</v>
      </c>
      <c r="P44" s="1" t="s">
        <v>157</v>
      </c>
    </row>
    <row r="45" spans="1:16" x14ac:dyDescent="0.3">
      <c r="A45" t="s">
        <v>9</v>
      </c>
      <c r="B45">
        <v>8</v>
      </c>
      <c r="C45" t="s">
        <v>58</v>
      </c>
      <c r="D45">
        <v>44</v>
      </c>
      <c r="E45" s="2">
        <f t="shared" si="0"/>
        <v>12</v>
      </c>
      <c r="F45" t="s">
        <v>13</v>
      </c>
      <c r="I45">
        <v>152319</v>
      </c>
      <c r="M45">
        <f t="shared" si="2"/>
        <v>3.04638E-3</v>
      </c>
      <c r="N45">
        <v>7199030</v>
      </c>
      <c r="O45">
        <v>57905152</v>
      </c>
      <c r="P45" s="1" t="s">
        <v>296</v>
      </c>
    </row>
    <row r="46" spans="1:16" x14ac:dyDescent="0.3">
      <c r="A46" t="s">
        <v>9</v>
      </c>
      <c r="B46">
        <v>8</v>
      </c>
      <c r="C46" t="s">
        <v>58</v>
      </c>
      <c r="D46">
        <v>62</v>
      </c>
      <c r="E46" s="2">
        <f t="shared" si="0"/>
        <v>18</v>
      </c>
      <c r="F46" t="s">
        <v>12</v>
      </c>
      <c r="I46">
        <v>87951</v>
      </c>
      <c r="M46">
        <f t="shared" si="2"/>
        <v>1.75902E-3</v>
      </c>
      <c r="N46">
        <v>7199031</v>
      </c>
      <c r="O46">
        <v>58363904</v>
      </c>
      <c r="P46" s="1" t="s">
        <v>297</v>
      </c>
    </row>
    <row r="47" spans="1:16" x14ac:dyDescent="0.3">
      <c r="A47" t="s">
        <v>9</v>
      </c>
      <c r="B47">
        <v>8</v>
      </c>
      <c r="C47" t="s">
        <v>58</v>
      </c>
      <c r="D47">
        <v>102</v>
      </c>
      <c r="E47" s="2">
        <f t="shared" si="0"/>
        <v>40</v>
      </c>
      <c r="F47" t="s">
        <v>11</v>
      </c>
      <c r="I47">
        <v>64951</v>
      </c>
      <c r="M47">
        <f t="shared" si="2"/>
        <v>1.2990200000000001E-3</v>
      </c>
      <c r="N47">
        <v>8688194</v>
      </c>
      <c r="O47">
        <v>58798080</v>
      </c>
      <c r="P47" s="1" t="s">
        <v>158</v>
      </c>
    </row>
    <row r="48" spans="1:16" x14ac:dyDescent="0.3">
      <c r="A48" t="s">
        <v>9</v>
      </c>
      <c r="B48">
        <v>9</v>
      </c>
      <c r="C48" t="s">
        <v>57</v>
      </c>
      <c r="D48">
        <v>18</v>
      </c>
      <c r="E48" s="2">
        <f t="shared" si="0"/>
        <v>18</v>
      </c>
      <c r="F48" t="s">
        <v>15</v>
      </c>
      <c r="I48">
        <v>44114</v>
      </c>
      <c r="M48">
        <f t="shared" si="2"/>
        <v>8.8228000000000004E-4</v>
      </c>
      <c r="N48">
        <v>8688198</v>
      </c>
      <c r="O48">
        <v>58261504</v>
      </c>
      <c r="P48" s="1" t="s">
        <v>159</v>
      </c>
    </row>
    <row r="49" spans="1:18" x14ac:dyDescent="0.3">
      <c r="A49" t="s">
        <v>9</v>
      </c>
      <c r="B49">
        <v>9</v>
      </c>
      <c r="C49" t="s">
        <v>57</v>
      </c>
      <c r="D49">
        <v>48</v>
      </c>
      <c r="E49" s="2">
        <f t="shared" si="0"/>
        <v>30</v>
      </c>
      <c r="F49" t="s">
        <v>14</v>
      </c>
      <c r="I49">
        <v>184422</v>
      </c>
      <c r="M49">
        <f t="shared" si="2"/>
        <v>3.6884399999999999E-3</v>
      </c>
      <c r="N49">
        <v>8688200</v>
      </c>
      <c r="O49">
        <v>58544128</v>
      </c>
      <c r="P49" s="1" t="s">
        <v>160</v>
      </c>
    </row>
    <row r="50" spans="1:18" x14ac:dyDescent="0.3">
      <c r="A50" t="s">
        <v>9</v>
      </c>
      <c r="B50">
        <v>9</v>
      </c>
      <c r="C50" t="s">
        <v>57</v>
      </c>
      <c r="D50">
        <v>68</v>
      </c>
      <c r="E50" s="2">
        <f t="shared" si="0"/>
        <v>20</v>
      </c>
      <c r="F50" t="s">
        <v>13</v>
      </c>
      <c r="I50">
        <v>152283</v>
      </c>
      <c r="M50">
        <f t="shared" si="2"/>
        <v>3.0456599999999999E-3</v>
      </c>
      <c r="N50">
        <v>7199040</v>
      </c>
      <c r="O50">
        <v>58556416</v>
      </c>
      <c r="P50" s="1" t="s">
        <v>298</v>
      </c>
    </row>
    <row r="51" spans="1:18" x14ac:dyDescent="0.3">
      <c r="A51" t="s">
        <v>9</v>
      </c>
      <c r="B51">
        <v>9</v>
      </c>
      <c r="C51" t="s">
        <v>57</v>
      </c>
      <c r="D51">
        <v>86</v>
      </c>
      <c r="E51" s="2">
        <f t="shared" si="0"/>
        <v>18</v>
      </c>
      <c r="F51" t="s">
        <v>12</v>
      </c>
      <c r="I51">
        <v>87939</v>
      </c>
      <c r="M51">
        <f t="shared" si="2"/>
        <v>1.7587799999999999E-3</v>
      </c>
      <c r="N51">
        <v>7199041</v>
      </c>
      <c r="O51">
        <v>58953728</v>
      </c>
      <c r="P51" s="1" t="s">
        <v>299</v>
      </c>
    </row>
    <row r="52" spans="1:18" x14ac:dyDescent="0.3">
      <c r="A52" t="s">
        <v>9</v>
      </c>
      <c r="B52">
        <v>9</v>
      </c>
      <c r="C52" t="s">
        <v>57</v>
      </c>
      <c r="D52">
        <v>103</v>
      </c>
      <c r="E52" s="2">
        <f t="shared" si="0"/>
        <v>17</v>
      </c>
      <c r="F52" t="s">
        <v>11</v>
      </c>
      <c r="I52">
        <v>64939</v>
      </c>
      <c r="M52">
        <f t="shared" si="2"/>
        <v>1.29878E-3</v>
      </c>
      <c r="N52">
        <v>8688208</v>
      </c>
      <c r="O52">
        <v>58466304</v>
      </c>
      <c r="P52" s="1" t="s">
        <v>161</v>
      </c>
    </row>
    <row r="53" spans="1:18" x14ac:dyDescent="0.3">
      <c r="A53" t="s">
        <v>9</v>
      </c>
      <c r="B53">
        <v>10</v>
      </c>
      <c r="C53" t="s">
        <v>56</v>
      </c>
      <c r="D53">
        <v>24</v>
      </c>
      <c r="E53" s="2">
        <f t="shared" si="0"/>
        <v>24</v>
      </c>
      <c r="F53" t="s">
        <v>15</v>
      </c>
      <c r="I53">
        <v>44114</v>
      </c>
      <c r="M53">
        <f t="shared" si="2"/>
        <v>8.8228000000000004E-4</v>
      </c>
      <c r="N53">
        <v>8688214</v>
      </c>
      <c r="O53">
        <v>58163200</v>
      </c>
      <c r="P53" s="1" t="s">
        <v>162</v>
      </c>
    </row>
    <row r="54" spans="1:18" x14ac:dyDescent="0.3">
      <c r="A54" t="s">
        <v>9</v>
      </c>
      <c r="B54">
        <v>10</v>
      </c>
      <c r="C54" t="s">
        <v>56</v>
      </c>
      <c r="D54">
        <v>66</v>
      </c>
      <c r="E54" s="2">
        <f t="shared" si="0"/>
        <v>42</v>
      </c>
      <c r="F54" t="s">
        <v>14</v>
      </c>
      <c r="I54">
        <v>184446</v>
      </c>
      <c r="M54">
        <f t="shared" si="2"/>
        <v>3.68892E-3</v>
      </c>
      <c r="N54">
        <v>8688217</v>
      </c>
      <c r="O54">
        <v>57507840</v>
      </c>
      <c r="P54" s="1" t="s">
        <v>163</v>
      </c>
    </row>
    <row r="55" spans="1:18" x14ac:dyDescent="0.3">
      <c r="A55" t="s">
        <v>9</v>
      </c>
      <c r="B55">
        <v>10</v>
      </c>
      <c r="C55" t="s">
        <v>56</v>
      </c>
      <c r="D55">
        <v>79</v>
      </c>
      <c r="E55" s="2">
        <f t="shared" si="0"/>
        <v>13</v>
      </c>
      <c r="F55" t="s">
        <v>13</v>
      </c>
      <c r="I55">
        <v>152319</v>
      </c>
      <c r="M55">
        <f t="shared" si="2"/>
        <v>3.04638E-3</v>
      </c>
      <c r="N55">
        <v>7199049</v>
      </c>
      <c r="O55">
        <v>57737216</v>
      </c>
      <c r="P55" s="1" t="s">
        <v>300</v>
      </c>
    </row>
    <row r="56" spans="1:18" x14ac:dyDescent="0.3">
      <c r="A56" t="s">
        <v>9</v>
      </c>
      <c r="B56">
        <v>10</v>
      </c>
      <c r="C56" t="s">
        <v>56</v>
      </c>
      <c r="D56">
        <v>93</v>
      </c>
      <c r="E56" s="2">
        <f t="shared" si="0"/>
        <v>14</v>
      </c>
      <c r="F56" t="s">
        <v>12</v>
      </c>
      <c r="I56">
        <v>87939</v>
      </c>
      <c r="M56">
        <f t="shared" si="2"/>
        <v>1.7587799999999999E-3</v>
      </c>
      <c r="N56">
        <v>7199050</v>
      </c>
      <c r="O56">
        <v>58314752</v>
      </c>
      <c r="P56" s="1" t="s">
        <v>301</v>
      </c>
      <c r="R56" s="1"/>
    </row>
    <row r="57" spans="1:18" x14ac:dyDescent="0.3">
      <c r="A57" t="s">
        <v>9</v>
      </c>
      <c r="B57">
        <v>10</v>
      </c>
      <c r="C57" t="s">
        <v>56</v>
      </c>
      <c r="D57">
        <v>157</v>
      </c>
      <c r="E57" s="2">
        <f t="shared" si="0"/>
        <v>64</v>
      </c>
      <c r="F57" t="s">
        <v>11</v>
      </c>
      <c r="I57">
        <v>64939</v>
      </c>
      <c r="M57">
        <f t="shared" si="2"/>
        <v>1.29878E-3</v>
      </c>
      <c r="N57">
        <v>8688222</v>
      </c>
      <c r="O57">
        <v>58077184</v>
      </c>
      <c r="P57" s="1" t="s">
        <v>164</v>
      </c>
    </row>
    <row r="58" spans="1:18" x14ac:dyDescent="0.3">
      <c r="A58" t="s">
        <v>9</v>
      </c>
      <c r="B58">
        <v>11</v>
      </c>
      <c r="C58" t="s">
        <v>55</v>
      </c>
      <c r="D58">
        <v>36</v>
      </c>
      <c r="E58" s="2">
        <f t="shared" si="0"/>
        <v>36</v>
      </c>
      <c r="F58" t="s">
        <v>15</v>
      </c>
      <c r="I58">
        <v>44114</v>
      </c>
      <c r="M58">
        <f t="shared" si="2"/>
        <v>8.8228000000000004E-4</v>
      </c>
      <c r="N58">
        <v>8688226</v>
      </c>
      <c r="O58">
        <v>58933248</v>
      </c>
      <c r="P58" s="1" t="s">
        <v>165</v>
      </c>
      <c r="R58" s="1"/>
    </row>
    <row r="59" spans="1:18" x14ac:dyDescent="0.3">
      <c r="A59" t="s">
        <v>9</v>
      </c>
      <c r="B59">
        <v>11</v>
      </c>
      <c r="C59" t="s">
        <v>55</v>
      </c>
      <c r="D59">
        <v>136</v>
      </c>
      <c r="E59" s="2">
        <f t="shared" si="0"/>
        <v>100</v>
      </c>
      <c r="F59" t="s">
        <v>14</v>
      </c>
      <c r="I59">
        <v>184446</v>
      </c>
      <c r="M59">
        <f t="shared" si="2"/>
        <v>3.68892E-3</v>
      </c>
      <c r="N59">
        <v>8688231</v>
      </c>
      <c r="O59">
        <v>58617856</v>
      </c>
      <c r="P59" s="1" t="s">
        <v>166</v>
      </c>
    </row>
    <row r="60" spans="1:18" x14ac:dyDescent="0.3">
      <c r="A60" t="s">
        <v>9</v>
      </c>
      <c r="B60">
        <v>11</v>
      </c>
      <c r="C60" t="s">
        <v>55</v>
      </c>
      <c r="D60">
        <v>153</v>
      </c>
      <c r="E60" s="2">
        <f t="shared" si="0"/>
        <v>17</v>
      </c>
      <c r="F60" t="s">
        <v>13</v>
      </c>
      <c r="I60">
        <v>152307</v>
      </c>
      <c r="M60">
        <f t="shared" si="2"/>
        <v>3.0461400000000001E-3</v>
      </c>
      <c r="N60">
        <v>7199066</v>
      </c>
      <c r="O60">
        <v>58683392</v>
      </c>
      <c r="P60" s="1" t="s">
        <v>302</v>
      </c>
    </row>
    <row r="61" spans="1:18" x14ac:dyDescent="0.3">
      <c r="A61" t="s">
        <v>9</v>
      </c>
      <c r="B61">
        <v>11</v>
      </c>
      <c r="C61" t="s">
        <v>55</v>
      </c>
      <c r="D61">
        <v>167</v>
      </c>
      <c r="E61" s="2">
        <f t="shared" si="0"/>
        <v>14</v>
      </c>
      <c r="F61" t="s">
        <v>12</v>
      </c>
      <c r="I61">
        <v>87939</v>
      </c>
      <c r="M61">
        <f t="shared" si="2"/>
        <v>1.7587799999999999E-3</v>
      </c>
      <c r="N61">
        <v>7199067</v>
      </c>
      <c r="O61">
        <v>58224640</v>
      </c>
      <c r="P61" s="1" t="s">
        <v>303</v>
      </c>
    </row>
    <row r="62" spans="1:18" x14ac:dyDescent="0.3">
      <c r="A62" t="s">
        <v>9</v>
      </c>
      <c r="B62">
        <v>11</v>
      </c>
      <c r="C62" t="s">
        <v>55</v>
      </c>
      <c r="D62">
        <v>211</v>
      </c>
      <c r="E62" s="2">
        <f t="shared" si="0"/>
        <v>44</v>
      </c>
      <c r="F62" t="s">
        <v>11</v>
      </c>
      <c r="I62">
        <v>64939</v>
      </c>
      <c r="M62">
        <f t="shared" si="2"/>
        <v>1.29878E-3</v>
      </c>
      <c r="N62">
        <v>8688235</v>
      </c>
      <c r="O62">
        <v>58343424</v>
      </c>
      <c r="P62" s="1" t="s">
        <v>167</v>
      </c>
    </row>
    <row r="63" spans="1:18" x14ac:dyDescent="0.3">
      <c r="A63" t="s">
        <v>9</v>
      </c>
      <c r="B63">
        <v>12</v>
      </c>
      <c r="C63" t="s">
        <v>54</v>
      </c>
      <c r="D63">
        <v>16</v>
      </c>
      <c r="E63" s="2">
        <f t="shared" si="0"/>
        <v>16</v>
      </c>
      <c r="F63" t="s">
        <v>15</v>
      </c>
      <c r="I63">
        <v>44114</v>
      </c>
      <c r="M63">
        <f t="shared" si="2"/>
        <v>8.8228000000000004E-4</v>
      </c>
      <c r="N63">
        <v>8688241</v>
      </c>
      <c r="O63">
        <v>58601472</v>
      </c>
      <c r="P63" s="1" t="s">
        <v>168</v>
      </c>
    </row>
    <row r="64" spans="1:18" x14ac:dyDescent="0.3">
      <c r="A64" t="s">
        <v>9</v>
      </c>
      <c r="B64">
        <v>12</v>
      </c>
      <c r="C64" t="s">
        <v>54</v>
      </c>
      <c r="D64">
        <v>32</v>
      </c>
      <c r="E64" s="2">
        <f t="shared" si="0"/>
        <v>16</v>
      </c>
      <c r="F64" t="s">
        <v>14</v>
      </c>
      <c r="I64">
        <v>184446</v>
      </c>
      <c r="M64">
        <f t="shared" si="2"/>
        <v>3.68892E-3</v>
      </c>
      <c r="N64">
        <v>8688245</v>
      </c>
      <c r="O64">
        <v>58556416</v>
      </c>
      <c r="P64" s="1" t="s">
        <v>169</v>
      </c>
    </row>
    <row r="65" spans="1:16" x14ac:dyDescent="0.3">
      <c r="A65" t="s">
        <v>9</v>
      </c>
      <c r="B65">
        <v>12</v>
      </c>
      <c r="C65" t="s">
        <v>54</v>
      </c>
      <c r="D65">
        <v>52</v>
      </c>
      <c r="E65" s="2">
        <f t="shared" si="0"/>
        <v>20</v>
      </c>
      <c r="F65" t="s">
        <v>13</v>
      </c>
      <c r="I65">
        <v>152319</v>
      </c>
      <c r="M65">
        <f t="shared" si="2"/>
        <v>3.04638E-3</v>
      </c>
      <c r="N65">
        <v>7199075</v>
      </c>
      <c r="O65">
        <v>58597376</v>
      </c>
      <c r="P65" s="1" t="s">
        <v>304</v>
      </c>
    </row>
    <row r="66" spans="1:16" x14ac:dyDescent="0.3">
      <c r="A66" t="s">
        <v>9</v>
      </c>
      <c r="B66">
        <v>12</v>
      </c>
      <c r="C66" t="s">
        <v>54</v>
      </c>
      <c r="D66">
        <v>71</v>
      </c>
      <c r="E66" s="2">
        <f t="shared" si="0"/>
        <v>19</v>
      </c>
      <c r="F66" t="s">
        <v>12</v>
      </c>
      <c r="I66">
        <v>87951</v>
      </c>
      <c r="M66">
        <f t="shared" si="2"/>
        <v>1.75902E-3</v>
      </c>
      <c r="N66">
        <v>7199076</v>
      </c>
      <c r="O66">
        <v>58314752</v>
      </c>
      <c r="P66" s="1" t="s">
        <v>305</v>
      </c>
    </row>
    <row r="67" spans="1:16" x14ac:dyDescent="0.3">
      <c r="A67" t="s">
        <v>9</v>
      </c>
      <c r="B67">
        <v>12</v>
      </c>
      <c r="C67" t="s">
        <v>54</v>
      </c>
      <c r="D67">
        <v>113</v>
      </c>
      <c r="E67" s="2">
        <f t="shared" si="0"/>
        <v>42</v>
      </c>
      <c r="F67" t="s">
        <v>11</v>
      </c>
      <c r="I67">
        <v>64951</v>
      </c>
      <c r="M67">
        <f t="shared" si="2"/>
        <v>1.2990200000000001E-3</v>
      </c>
      <c r="N67">
        <v>8688251</v>
      </c>
      <c r="O67">
        <v>58351616</v>
      </c>
      <c r="P67" s="1" t="s">
        <v>170</v>
      </c>
    </row>
    <row r="68" spans="1:16" x14ac:dyDescent="0.3">
      <c r="A68" t="s">
        <v>9</v>
      </c>
      <c r="B68">
        <v>13</v>
      </c>
      <c r="C68" t="s">
        <v>53</v>
      </c>
      <c r="D68">
        <v>21</v>
      </c>
      <c r="E68" s="2">
        <f t="shared" ref="E68:E131" si="3">IF(B68&lt;&gt;B67,D68,D68-D67)</f>
        <v>21</v>
      </c>
      <c r="F68" t="s">
        <v>15</v>
      </c>
      <c r="I68">
        <v>44114</v>
      </c>
      <c r="M68">
        <f t="shared" ref="M68:M131" si="4">0.00000002*I68</f>
        <v>8.8228000000000004E-4</v>
      </c>
      <c r="N68">
        <v>8688260</v>
      </c>
      <c r="O68">
        <v>59043840</v>
      </c>
      <c r="P68" s="1" t="s">
        <v>171</v>
      </c>
    </row>
    <row r="69" spans="1:16" x14ac:dyDescent="0.3">
      <c r="A69" t="s">
        <v>9</v>
      </c>
      <c r="B69">
        <v>13</v>
      </c>
      <c r="C69" t="s">
        <v>53</v>
      </c>
      <c r="D69">
        <v>140</v>
      </c>
      <c r="E69" s="2">
        <f t="shared" si="3"/>
        <v>119</v>
      </c>
      <c r="F69" t="s">
        <v>14</v>
      </c>
      <c r="I69">
        <v>184434</v>
      </c>
      <c r="M69">
        <f t="shared" si="4"/>
        <v>3.6886800000000002E-3</v>
      </c>
      <c r="N69">
        <v>8688265</v>
      </c>
      <c r="O69">
        <v>59310080</v>
      </c>
      <c r="P69" s="1" t="s">
        <v>172</v>
      </c>
    </row>
    <row r="70" spans="1:16" x14ac:dyDescent="0.3">
      <c r="A70" t="s">
        <v>9</v>
      </c>
      <c r="B70">
        <v>13</v>
      </c>
      <c r="C70" t="s">
        <v>53</v>
      </c>
      <c r="D70">
        <v>160</v>
      </c>
      <c r="E70" s="2">
        <f t="shared" si="3"/>
        <v>20</v>
      </c>
      <c r="F70" t="s">
        <v>13</v>
      </c>
      <c r="I70">
        <v>152307</v>
      </c>
      <c r="M70">
        <f t="shared" si="4"/>
        <v>3.0461400000000001E-3</v>
      </c>
      <c r="N70">
        <v>7199091</v>
      </c>
      <c r="O70">
        <v>59469824</v>
      </c>
      <c r="P70" s="1" t="s">
        <v>306</v>
      </c>
    </row>
    <row r="71" spans="1:16" x14ac:dyDescent="0.3">
      <c r="A71" t="s">
        <v>9</v>
      </c>
      <c r="B71">
        <v>13</v>
      </c>
      <c r="C71" t="s">
        <v>53</v>
      </c>
      <c r="D71">
        <v>175</v>
      </c>
      <c r="E71" s="2">
        <f t="shared" si="3"/>
        <v>15</v>
      </c>
      <c r="F71" t="s">
        <v>12</v>
      </c>
      <c r="I71">
        <v>87951</v>
      </c>
      <c r="M71">
        <f t="shared" si="4"/>
        <v>1.75902E-3</v>
      </c>
      <c r="N71">
        <v>7199092</v>
      </c>
      <c r="O71">
        <v>58949632</v>
      </c>
      <c r="P71" s="1" t="s">
        <v>307</v>
      </c>
    </row>
    <row r="72" spans="1:16" x14ac:dyDescent="0.3">
      <c r="A72" t="s">
        <v>9</v>
      </c>
      <c r="B72">
        <v>13</v>
      </c>
      <c r="C72" t="s">
        <v>53</v>
      </c>
      <c r="D72">
        <v>231</v>
      </c>
      <c r="E72" s="2">
        <f t="shared" si="3"/>
        <v>56</v>
      </c>
      <c r="F72" t="s">
        <v>11</v>
      </c>
      <c r="I72">
        <v>64951</v>
      </c>
      <c r="M72">
        <f t="shared" si="4"/>
        <v>1.2990200000000001E-3</v>
      </c>
      <c r="N72">
        <v>8688274</v>
      </c>
      <c r="O72">
        <v>59596800</v>
      </c>
      <c r="P72" s="1" t="s">
        <v>173</v>
      </c>
    </row>
    <row r="73" spans="1:16" x14ac:dyDescent="0.3">
      <c r="A73" t="s">
        <v>9</v>
      </c>
      <c r="B73">
        <v>14</v>
      </c>
      <c r="C73" t="s">
        <v>52</v>
      </c>
      <c r="D73">
        <v>56</v>
      </c>
      <c r="E73" s="2">
        <f t="shared" si="3"/>
        <v>56</v>
      </c>
      <c r="F73" t="s">
        <v>15</v>
      </c>
      <c r="I73">
        <v>44114</v>
      </c>
      <c r="M73">
        <f t="shared" si="4"/>
        <v>8.8228000000000004E-4</v>
      </c>
      <c r="N73">
        <v>8688284</v>
      </c>
      <c r="O73">
        <v>50364416</v>
      </c>
      <c r="P73" s="1" t="s">
        <v>174</v>
      </c>
    </row>
    <row r="74" spans="1:16" x14ac:dyDescent="0.3">
      <c r="A74" t="s">
        <v>9</v>
      </c>
      <c r="B74">
        <v>14</v>
      </c>
      <c r="C74" t="s">
        <v>52</v>
      </c>
      <c r="D74">
        <v>86</v>
      </c>
      <c r="E74" s="2">
        <f t="shared" si="3"/>
        <v>30</v>
      </c>
      <c r="F74" t="s">
        <v>14</v>
      </c>
      <c r="I74">
        <v>184446</v>
      </c>
      <c r="M74">
        <f t="shared" si="4"/>
        <v>3.68892E-3</v>
      </c>
      <c r="N74">
        <v>8688287</v>
      </c>
      <c r="O74">
        <v>49790976</v>
      </c>
      <c r="P74" s="1" t="s">
        <v>175</v>
      </c>
    </row>
    <row r="75" spans="1:16" x14ac:dyDescent="0.3">
      <c r="A75" t="s">
        <v>9</v>
      </c>
      <c r="B75">
        <v>14</v>
      </c>
      <c r="C75" t="s">
        <v>52</v>
      </c>
      <c r="D75">
        <v>99</v>
      </c>
      <c r="E75" s="2">
        <f t="shared" si="3"/>
        <v>13</v>
      </c>
      <c r="F75" t="s">
        <v>13</v>
      </c>
      <c r="I75">
        <v>152319</v>
      </c>
      <c r="M75">
        <f t="shared" si="4"/>
        <v>3.04638E-3</v>
      </c>
      <c r="N75">
        <v>7199104</v>
      </c>
      <c r="O75">
        <v>50081792</v>
      </c>
      <c r="P75" s="1" t="s">
        <v>308</v>
      </c>
    </row>
    <row r="76" spans="1:16" x14ac:dyDescent="0.3">
      <c r="A76" t="s">
        <v>9</v>
      </c>
      <c r="B76">
        <v>14</v>
      </c>
      <c r="C76" t="s">
        <v>52</v>
      </c>
      <c r="D76">
        <v>113</v>
      </c>
      <c r="E76" s="2">
        <f t="shared" si="3"/>
        <v>14</v>
      </c>
      <c r="F76" t="s">
        <v>12</v>
      </c>
      <c r="I76">
        <v>87951</v>
      </c>
      <c r="M76">
        <f t="shared" si="4"/>
        <v>1.75902E-3</v>
      </c>
      <c r="N76">
        <v>7199105</v>
      </c>
      <c r="O76">
        <v>50786304</v>
      </c>
      <c r="P76" s="1" t="s">
        <v>309</v>
      </c>
    </row>
    <row r="77" spans="1:16" x14ac:dyDescent="0.3">
      <c r="A77" t="s">
        <v>9</v>
      </c>
      <c r="B77">
        <v>14</v>
      </c>
      <c r="C77" t="s">
        <v>52</v>
      </c>
      <c r="D77">
        <v>197</v>
      </c>
      <c r="E77" s="2">
        <f t="shared" si="3"/>
        <v>84</v>
      </c>
      <c r="F77" t="s">
        <v>11</v>
      </c>
      <c r="I77">
        <v>64951</v>
      </c>
      <c r="M77">
        <f t="shared" si="4"/>
        <v>1.2990200000000001E-3</v>
      </c>
      <c r="N77">
        <v>8688300</v>
      </c>
      <c r="O77">
        <v>50724864</v>
      </c>
      <c r="P77" s="1" t="s">
        <v>176</v>
      </c>
    </row>
    <row r="78" spans="1:16" x14ac:dyDescent="0.3">
      <c r="A78" t="s">
        <v>9</v>
      </c>
      <c r="B78">
        <v>15</v>
      </c>
      <c r="C78" t="s">
        <v>51</v>
      </c>
      <c r="D78">
        <v>52</v>
      </c>
      <c r="E78" s="2">
        <f t="shared" si="3"/>
        <v>52</v>
      </c>
      <c r="F78" t="s">
        <v>15</v>
      </c>
      <c r="I78">
        <v>44114</v>
      </c>
      <c r="M78">
        <f t="shared" si="4"/>
        <v>8.8228000000000004E-4</v>
      </c>
      <c r="N78">
        <v>8688308</v>
      </c>
      <c r="O78">
        <v>52572160</v>
      </c>
      <c r="P78" s="1" t="s">
        <v>177</v>
      </c>
    </row>
    <row r="79" spans="1:16" x14ac:dyDescent="0.3">
      <c r="A79" t="s">
        <v>9</v>
      </c>
      <c r="B79">
        <v>15</v>
      </c>
      <c r="C79" t="s">
        <v>51</v>
      </c>
      <c r="D79">
        <v>106</v>
      </c>
      <c r="E79" s="2">
        <f t="shared" si="3"/>
        <v>54</v>
      </c>
      <c r="F79" t="s">
        <v>14</v>
      </c>
      <c r="I79">
        <v>184446</v>
      </c>
      <c r="M79">
        <f t="shared" si="4"/>
        <v>3.68892E-3</v>
      </c>
      <c r="N79">
        <v>8688314</v>
      </c>
      <c r="O79">
        <v>53026816</v>
      </c>
      <c r="P79" s="1" t="s">
        <v>178</v>
      </c>
    </row>
    <row r="80" spans="1:16" x14ac:dyDescent="0.3">
      <c r="A80" t="s">
        <v>9</v>
      </c>
      <c r="B80">
        <v>15</v>
      </c>
      <c r="C80" t="s">
        <v>51</v>
      </c>
      <c r="D80">
        <v>119</v>
      </c>
      <c r="E80" s="2">
        <f t="shared" si="3"/>
        <v>13</v>
      </c>
      <c r="F80" t="s">
        <v>13</v>
      </c>
      <c r="I80">
        <v>152319</v>
      </c>
      <c r="M80">
        <f t="shared" si="4"/>
        <v>3.04638E-3</v>
      </c>
      <c r="N80">
        <v>7199120</v>
      </c>
      <c r="O80">
        <v>53420032</v>
      </c>
      <c r="P80" s="1" t="s">
        <v>310</v>
      </c>
    </row>
    <row r="81" spans="1:16" x14ac:dyDescent="0.3">
      <c r="A81" t="s">
        <v>9</v>
      </c>
      <c r="B81">
        <v>15</v>
      </c>
      <c r="C81" t="s">
        <v>51</v>
      </c>
      <c r="D81">
        <v>133</v>
      </c>
      <c r="E81" s="2">
        <f t="shared" si="3"/>
        <v>14</v>
      </c>
      <c r="F81" t="s">
        <v>12</v>
      </c>
      <c r="I81">
        <v>87951</v>
      </c>
      <c r="M81">
        <f t="shared" si="4"/>
        <v>1.75902E-3</v>
      </c>
      <c r="N81">
        <v>7199121</v>
      </c>
      <c r="O81">
        <v>53866496</v>
      </c>
      <c r="P81" s="1" t="s">
        <v>311</v>
      </c>
    </row>
    <row r="82" spans="1:16" x14ac:dyDescent="0.3">
      <c r="A82" t="s">
        <v>9</v>
      </c>
      <c r="B82">
        <v>15</v>
      </c>
      <c r="C82" t="s">
        <v>51</v>
      </c>
      <c r="D82">
        <v>248</v>
      </c>
      <c r="E82" s="2">
        <f t="shared" si="3"/>
        <v>115</v>
      </c>
      <c r="F82" t="s">
        <v>11</v>
      </c>
      <c r="I82">
        <v>64951</v>
      </c>
      <c r="M82">
        <f t="shared" si="4"/>
        <v>1.2990200000000001E-3</v>
      </c>
      <c r="N82">
        <v>8688323</v>
      </c>
      <c r="O82">
        <v>54439936</v>
      </c>
      <c r="P82" s="1" t="s">
        <v>179</v>
      </c>
    </row>
    <row r="83" spans="1:16" x14ac:dyDescent="0.3">
      <c r="A83" t="s">
        <v>9</v>
      </c>
      <c r="B83">
        <v>16</v>
      </c>
      <c r="C83" t="s">
        <v>50</v>
      </c>
      <c r="D83">
        <v>12</v>
      </c>
      <c r="E83" s="2">
        <f t="shared" si="3"/>
        <v>12</v>
      </c>
      <c r="F83" t="s">
        <v>15</v>
      </c>
      <c r="I83">
        <v>44114</v>
      </c>
      <c r="M83">
        <f t="shared" si="4"/>
        <v>8.8228000000000004E-4</v>
      </c>
      <c r="N83">
        <v>8688327</v>
      </c>
      <c r="O83">
        <v>55570432</v>
      </c>
      <c r="P83" s="1" t="s">
        <v>180</v>
      </c>
    </row>
    <row r="84" spans="1:16" x14ac:dyDescent="0.3">
      <c r="A84" t="s">
        <v>9</v>
      </c>
      <c r="B84">
        <v>16</v>
      </c>
      <c r="C84" t="s">
        <v>50</v>
      </c>
      <c r="D84">
        <v>48</v>
      </c>
      <c r="E84" s="2">
        <f t="shared" si="3"/>
        <v>36</v>
      </c>
      <c r="F84" t="s">
        <v>14</v>
      </c>
      <c r="I84">
        <v>184446</v>
      </c>
      <c r="M84">
        <f t="shared" si="4"/>
        <v>3.68892E-3</v>
      </c>
      <c r="N84">
        <v>8688329</v>
      </c>
      <c r="O84">
        <v>56221696</v>
      </c>
      <c r="P84" s="1" t="s">
        <v>181</v>
      </c>
    </row>
    <row r="85" spans="1:16" x14ac:dyDescent="0.3">
      <c r="A85" t="s">
        <v>9</v>
      </c>
      <c r="B85">
        <v>16</v>
      </c>
      <c r="C85" t="s">
        <v>50</v>
      </c>
      <c r="D85">
        <v>71</v>
      </c>
      <c r="E85" s="2">
        <f t="shared" si="3"/>
        <v>23</v>
      </c>
      <c r="F85" t="s">
        <v>13</v>
      </c>
      <c r="I85">
        <v>152319</v>
      </c>
      <c r="M85">
        <f t="shared" si="4"/>
        <v>3.04638E-3</v>
      </c>
      <c r="N85">
        <v>7199135</v>
      </c>
      <c r="O85">
        <v>56586240</v>
      </c>
      <c r="P85" s="1" t="s">
        <v>312</v>
      </c>
    </row>
    <row r="86" spans="1:16" x14ac:dyDescent="0.3">
      <c r="A86" t="s">
        <v>9</v>
      </c>
      <c r="B86">
        <v>16</v>
      </c>
      <c r="C86" t="s">
        <v>50</v>
      </c>
      <c r="D86">
        <v>89</v>
      </c>
      <c r="E86" s="2">
        <f t="shared" si="3"/>
        <v>18</v>
      </c>
      <c r="F86" t="s">
        <v>12</v>
      </c>
      <c r="I86">
        <v>87951</v>
      </c>
      <c r="M86">
        <f t="shared" si="4"/>
        <v>1.75902E-3</v>
      </c>
      <c r="N86">
        <v>7199136</v>
      </c>
      <c r="O86">
        <v>56287232</v>
      </c>
      <c r="P86" s="1" t="s">
        <v>313</v>
      </c>
    </row>
    <row r="87" spans="1:16" x14ac:dyDescent="0.3">
      <c r="A87" t="s">
        <v>9</v>
      </c>
      <c r="B87">
        <v>16</v>
      </c>
      <c r="C87" t="s">
        <v>50</v>
      </c>
      <c r="D87">
        <v>166</v>
      </c>
      <c r="E87" s="2">
        <f t="shared" si="3"/>
        <v>77</v>
      </c>
      <c r="F87" t="s">
        <v>11</v>
      </c>
      <c r="I87">
        <v>64951</v>
      </c>
      <c r="M87">
        <f t="shared" si="4"/>
        <v>1.2990200000000001E-3</v>
      </c>
      <c r="N87">
        <v>8688337</v>
      </c>
      <c r="O87">
        <v>56651776</v>
      </c>
      <c r="P87" s="1" t="s">
        <v>182</v>
      </c>
    </row>
    <row r="88" spans="1:16" x14ac:dyDescent="0.3">
      <c r="A88" t="s">
        <v>9</v>
      </c>
      <c r="B88">
        <v>17</v>
      </c>
      <c r="C88" t="s">
        <v>49</v>
      </c>
      <c r="D88">
        <v>12</v>
      </c>
      <c r="E88" s="2">
        <f t="shared" si="3"/>
        <v>12</v>
      </c>
      <c r="F88" t="s">
        <v>15</v>
      </c>
      <c r="I88">
        <v>44114</v>
      </c>
      <c r="M88">
        <f t="shared" si="4"/>
        <v>8.8228000000000004E-4</v>
      </c>
      <c r="N88">
        <v>8688344</v>
      </c>
      <c r="O88">
        <v>57847808</v>
      </c>
      <c r="P88" s="1" t="s">
        <v>183</v>
      </c>
    </row>
    <row r="89" spans="1:16" x14ac:dyDescent="0.3">
      <c r="A89" t="s">
        <v>9</v>
      </c>
      <c r="B89">
        <v>17</v>
      </c>
      <c r="C89" t="s">
        <v>49</v>
      </c>
      <c r="D89">
        <v>24</v>
      </c>
      <c r="E89" s="2">
        <f t="shared" si="3"/>
        <v>12</v>
      </c>
      <c r="F89" t="s">
        <v>14</v>
      </c>
      <c r="I89">
        <v>184446</v>
      </c>
      <c r="M89">
        <f t="shared" si="4"/>
        <v>3.68892E-3</v>
      </c>
      <c r="N89">
        <v>8688347</v>
      </c>
      <c r="O89">
        <v>58273792</v>
      </c>
      <c r="P89" s="1" t="s">
        <v>184</v>
      </c>
    </row>
    <row r="90" spans="1:16" x14ac:dyDescent="0.3">
      <c r="A90" t="s">
        <v>9</v>
      </c>
      <c r="B90">
        <v>17</v>
      </c>
      <c r="C90" t="s">
        <v>49</v>
      </c>
      <c r="D90">
        <v>30</v>
      </c>
      <c r="E90" s="2">
        <f t="shared" si="3"/>
        <v>6</v>
      </c>
      <c r="F90" t="s">
        <v>13</v>
      </c>
      <c r="I90">
        <v>152319</v>
      </c>
      <c r="M90">
        <f t="shared" si="4"/>
        <v>3.04638E-3</v>
      </c>
      <c r="N90">
        <v>7199145</v>
      </c>
      <c r="O90">
        <v>58179584</v>
      </c>
      <c r="P90" s="1" t="s">
        <v>314</v>
      </c>
    </row>
    <row r="91" spans="1:16" x14ac:dyDescent="0.3">
      <c r="A91" t="s">
        <v>9</v>
      </c>
      <c r="B91">
        <v>17</v>
      </c>
      <c r="C91" t="s">
        <v>49</v>
      </c>
      <c r="D91">
        <v>54</v>
      </c>
      <c r="E91" s="2">
        <f t="shared" si="3"/>
        <v>24</v>
      </c>
      <c r="F91" t="s">
        <v>12</v>
      </c>
      <c r="I91">
        <v>87951</v>
      </c>
      <c r="M91">
        <f t="shared" si="4"/>
        <v>1.75902E-3</v>
      </c>
      <c r="N91">
        <v>7199146</v>
      </c>
      <c r="O91">
        <v>56942592</v>
      </c>
      <c r="P91" s="1" t="s">
        <v>315</v>
      </c>
    </row>
    <row r="92" spans="1:16" x14ac:dyDescent="0.3">
      <c r="A92" t="s">
        <v>9</v>
      </c>
      <c r="B92">
        <v>17</v>
      </c>
      <c r="C92" t="s">
        <v>49</v>
      </c>
      <c r="D92">
        <v>73</v>
      </c>
      <c r="E92" s="2">
        <f t="shared" si="3"/>
        <v>19</v>
      </c>
      <c r="F92" t="s">
        <v>11</v>
      </c>
      <c r="I92">
        <v>64951</v>
      </c>
      <c r="M92">
        <f t="shared" si="4"/>
        <v>1.2990200000000001E-3</v>
      </c>
      <c r="N92">
        <v>8688348</v>
      </c>
      <c r="O92">
        <v>56422400</v>
      </c>
      <c r="P92" s="1" t="s">
        <v>185</v>
      </c>
    </row>
    <row r="93" spans="1:16" x14ac:dyDescent="0.3">
      <c r="A93" t="s">
        <v>9</v>
      </c>
      <c r="B93">
        <v>18</v>
      </c>
      <c r="C93" t="s">
        <v>48</v>
      </c>
      <c r="D93">
        <v>36</v>
      </c>
      <c r="E93" s="2">
        <f t="shared" si="3"/>
        <v>36</v>
      </c>
      <c r="F93" t="s">
        <v>15</v>
      </c>
      <c r="I93">
        <v>44114</v>
      </c>
      <c r="M93">
        <f t="shared" si="4"/>
        <v>8.8228000000000004E-4</v>
      </c>
      <c r="N93">
        <v>8688350</v>
      </c>
      <c r="O93">
        <v>56639488</v>
      </c>
      <c r="P93" s="1" t="s">
        <v>186</v>
      </c>
    </row>
    <row r="94" spans="1:16" x14ac:dyDescent="0.3">
      <c r="A94" t="s">
        <v>9</v>
      </c>
      <c r="B94">
        <v>18</v>
      </c>
      <c r="C94" t="s">
        <v>48</v>
      </c>
      <c r="D94">
        <v>82</v>
      </c>
      <c r="E94" s="2">
        <f t="shared" si="3"/>
        <v>46</v>
      </c>
      <c r="F94" t="s">
        <v>14</v>
      </c>
      <c r="I94">
        <v>184434</v>
      </c>
      <c r="M94">
        <f t="shared" si="4"/>
        <v>3.6886800000000002E-3</v>
      </c>
      <c r="N94">
        <v>8688352</v>
      </c>
      <c r="O94">
        <v>57036800</v>
      </c>
      <c r="P94" s="1" t="s">
        <v>187</v>
      </c>
    </row>
    <row r="95" spans="1:16" x14ac:dyDescent="0.3">
      <c r="A95" t="s">
        <v>9</v>
      </c>
      <c r="B95">
        <v>18</v>
      </c>
      <c r="C95" t="s">
        <v>48</v>
      </c>
      <c r="D95">
        <v>105</v>
      </c>
      <c r="E95" s="2">
        <f t="shared" si="3"/>
        <v>23</v>
      </c>
      <c r="F95" t="s">
        <v>13</v>
      </c>
      <c r="I95">
        <v>152307</v>
      </c>
      <c r="M95">
        <f t="shared" si="4"/>
        <v>3.0461400000000001E-3</v>
      </c>
      <c r="N95">
        <v>7199156</v>
      </c>
      <c r="O95">
        <v>57192448</v>
      </c>
      <c r="P95" s="1" t="s">
        <v>316</v>
      </c>
    </row>
    <row r="96" spans="1:16" x14ac:dyDescent="0.3">
      <c r="A96" t="s">
        <v>9</v>
      </c>
      <c r="B96">
        <v>18</v>
      </c>
      <c r="C96" t="s">
        <v>48</v>
      </c>
      <c r="D96">
        <v>119</v>
      </c>
      <c r="E96" s="2">
        <f t="shared" si="3"/>
        <v>14</v>
      </c>
      <c r="F96" t="s">
        <v>12</v>
      </c>
      <c r="I96">
        <v>87951</v>
      </c>
      <c r="M96">
        <f t="shared" si="4"/>
        <v>1.75902E-3</v>
      </c>
      <c r="N96">
        <v>7199157</v>
      </c>
      <c r="O96">
        <v>56606720</v>
      </c>
      <c r="P96" s="1" t="s">
        <v>317</v>
      </c>
    </row>
    <row r="97" spans="1:16" x14ac:dyDescent="0.3">
      <c r="A97" t="s">
        <v>9</v>
      </c>
      <c r="B97">
        <v>18</v>
      </c>
      <c r="C97" t="s">
        <v>48</v>
      </c>
      <c r="D97">
        <v>143</v>
      </c>
      <c r="E97" s="2">
        <f t="shared" si="3"/>
        <v>24</v>
      </c>
      <c r="F97" t="s">
        <v>11</v>
      </c>
      <c r="I97">
        <v>64951</v>
      </c>
      <c r="M97">
        <f t="shared" si="4"/>
        <v>1.2990200000000001E-3</v>
      </c>
      <c r="N97">
        <v>8688357</v>
      </c>
      <c r="O97">
        <v>57085952</v>
      </c>
      <c r="P97" s="1" t="s">
        <v>188</v>
      </c>
    </row>
    <row r="98" spans="1:16" x14ac:dyDescent="0.3">
      <c r="A98" t="s">
        <v>9</v>
      </c>
      <c r="B98">
        <v>19</v>
      </c>
      <c r="C98" t="s">
        <v>47</v>
      </c>
      <c r="D98">
        <v>18</v>
      </c>
      <c r="E98" s="2">
        <f t="shared" si="3"/>
        <v>18</v>
      </c>
      <c r="F98" t="s">
        <v>15</v>
      </c>
      <c r="I98">
        <v>44114</v>
      </c>
      <c r="M98">
        <f t="shared" si="4"/>
        <v>8.8228000000000004E-4</v>
      </c>
      <c r="N98">
        <v>8688361</v>
      </c>
      <c r="O98">
        <v>56623104</v>
      </c>
      <c r="P98" s="1" t="s">
        <v>189</v>
      </c>
    </row>
    <row r="99" spans="1:16" x14ac:dyDescent="0.3">
      <c r="A99" t="s">
        <v>9</v>
      </c>
      <c r="B99">
        <v>19</v>
      </c>
      <c r="C99" t="s">
        <v>47</v>
      </c>
      <c r="D99">
        <v>30</v>
      </c>
      <c r="E99" s="2">
        <f t="shared" si="3"/>
        <v>12</v>
      </c>
      <c r="F99" t="s">
        <v>14</v>
      </c>
      <c r="I99">
        <v>184446</v>
      </c>
      <c r="M99">
        <f t="shared" si="4"/>
        <v>3.68892E-3</v>
      </c>
      <c r="N99">
        <v>8688364</v>
      </c>
      <c r="O99">
        <v>57307136</v>
      </c>
      <c r="P99" s="1" t="s">
        <v>190</v>
      </c>
    </row>
    <row r="100" spans="1:16" x14ac:dyDescent="0.3">
      <c r="A100" t="s">
        <v>9</v>
      </c>
      <c r="B100">
        <v>19</v>
      </c>
      <c r="C100" t="s">
        <v>47</v>
      </c>
      <c r="D100">
        <v>46</v>
      </c>
      <c r="E100" s="2">
        <f t="shared" si="3"/>
        <v>16</v>
      </c>
      <c r="F100" t="s">
        <v>13</v>
      </c>
      <c r="I100">
        <v>152307</v>
      </c>
      <c r="M100">
        <f t="shared" si="4"/>
        <v>3.0461400000000001E-3</v>
      </c>
      <c r="N100">
        <v>7199163</v>
      </c>
      <c r="O100">
        <v>57339904</v>
      </c>
      <c r="P100" s="1" t="s">
        <v>318</v>
      </c>
    </row>
    <row r="101" spans="1:16" x14ac:dyDescent="0.3">
      <c r="A101" t="s">
        <v>9</v>
      </c>
      <c r="B101">
        <v>19</v>
      </c>
      <c r="C101" t="s">
        <v>47</v>
      </c>
      <c r="D101">
        <v>60</v>
      </c>
      <c r="E101" s="2">
        <f t="shared" si="3"/>
        <v>14</v>
      </c>
      <c r="F101" t="s">
        <v>12</v>
      </c>
      <c r="I101">
        <v>87939</v>
      </c>
      <c r="M101">
        <f t="shared" si="4"/>
        <v>1.7587799999999999E-3</v>
      </c>
      <c r="N101">
        <v>7199164</v>
      </c>
      <c r="O101">
        <v>56889344</v>
      </c>
      <c r="P101" s="1" t="s">
        <v>319</v>
      </c>
    </row>
    <row r="102" spans="1:16" x14ac:dyDescent="0.3">
      <c r="A102" t="s">
        <v>9</v>
      </c>
      <c r="B102">
        <v>19</v>
      </c>
      <c r="C102" t="s">
        <v>47</v>
      </c>
      <c r="D102">
        <v>72</v>
      </c>
      <c r="E102" s="2">
        <f t="shared" si="3"/>
        <v>12</v>
      </c>
      <c r="F102" t="s">
        <v>11</v>
      </c>
      <c r="I102">
        <v>64939</v>
      </c>
      <c r="M102">
        <f t="shared" si="4"/>
        <v>1.29878E-3</v>
      </c>
      <c r="N102">
        <v>8688367</v>
      </c>
      <c r="O102">
        <v>57520128</v>
      </c>
      <c r="P102" s="1" t="s">
        <v>191</v>
      </c>
    </row>
    <row r="103" spans="1:16" x14ac:dyDescent="0.3">
      <c r="A103" t="s">
        <v>9</v>
      </c>
      <c r="B103">
        <v>20</v>
      </c>
      <c r="C103" t="s">
        <v>46</v>
      </c>
      <c r="D103">
        <v>14</v>
      </c>
      <c r="E103" s="2">
        <f t="shared" si="3"/>
        <v>14</v>
      </c>
      <c r="F103" t="s">
        <v>15</v>
      </c>
      <c r="I103">
        <v>44114</v>
      </c>
      <c r="M103">
        <f t="shared" si="4"/>
        <v>8.8228000000000004E-4</v>
      </c>
      <c r="N103">
        <v>8688370</v>
      </c>
      <c r="O103">
        <v>57843712</v>
      </c>
      <c r="P103" s="1" t="s">
        <v>192</v>
      </c>
    </row>
    <row r="104" spans="1:16" x14ac:dyDescent="0.3">
      <c r="A104" t="s">
        <v>9</v>
      </c>
      <c r="B104">
        <v>20</v>
      </c>
      <c r="C104" t="s">
        <v>46</v>
      </c>
      <c r="D104">
        <v>30</v>
      </c>
      <c r="E104" s="2">
        <f t="shared" si="3"/>
        <v>16</v>
      </c>
      <c r="F104" t="s">
        <v>14</v>
      </c>
      <c r="I104">
        <v>184434</v>
      </c>
      <c r="M104">
        <f t="shared" si="4"/>
        <v>3.6886800000000002E-3</v>
      </c>
      <c r="N104">
        <v>8688374</v>
      </c>
      <c r="O104">
        <v>57356288</v>
      </c>
      <c r="P104" s="1" t="s">
        <v>193</v>
      </c>
    </row>
    <row r="105" spans="1:16" x14ac:dyDescent="0.3">
      <c r="A105" t="s">
        <v>9</v>
      </c>
      <c r="B105">
        <v>20</v>
      </c>
      <c r="C105" t="s">
        <v>46</v>
      </c>
      <c r="D105">
        <v>56</v>
      </c>
      <c r="E105" s="2">
        <f t="shared" si="3"/>
        <v>26</v>
      </c>
      <c r="F105" t="s">
        <v>13</v>
      </c>
      <c r="I105">
        <v>152307</v>
      </c>
      <c r="M105">
        <f t="shared" si="4"/>
        <v>3.0461400000000001E-3</v>
      </c>
      <c r="N105">
        <v>7199170</v>
      </c>
      <c r="O105">
        <v>57520128</v>
      </c>
      <c r="P105" s="1" t="s">
        <v>320</v>
      </c>
    </row>
    <row r="106" spans="1:16" x14ac:dyDescent="0.3">
      <c r="A106" t="s">
        <v>9</v>
      </c>
      <c r="B106">
        <v>20</v>
      </c>
      <c r="C106" t="s">
        <v>46</v>
      </c>
      <c r="D106">
        <v>70</v>
      </c>
      <c r="E106" s="2">
        <f t="shared" si="3"/>
        <v>14</v>
      </c>
      <c r="F106" t="s">
        <v>12</v>
      </c>
      <c r="I106">
        <v>87951</v>
      </c>
      <c r="M106">
        <f t="shared" si="4"/>
        <v>1.75902E-3</v>
      </c>
      <c r="N106">
        <v>7199171</v>
      </c>
      <c r="O106">
        <v>57036800</v>
      </c>
      <c r="P106" s="1" t="s">
        <v>321</v>
      </c>
    </row>
    <row r="107" spans="1:16" x14ac:dyDescent="0.3">
      <c r="A107" t="s">
        <v>9</v>
      </c>
      <c r="B107">
        <v>20</v>
      </c>
      <c r="C107" t="s">
        <v>46</v>
      </c>
      <c r="D107">
        <v>86</v>
      </c>
      <c r="E107" s="2">
        <f t="shared" si="3"/>
        <v>16</v>
      </c>
      <c r="F107" t="s">
        <v>11</v>
      </c>
      <c r="I107">
        <v>64951</v>
      </c>
      <c r="M107">
        <f t="shared" si="4"/>
        <v>1.2990200000000001E-3</v>
      </c>
      <c r="N107">
        <v>8688378</v>
      </c>
      <c r="O107">
        <v>56897536</v>
      </c>
      <c r="P107" s="1" t="s">
        <v>194</v>
      </c>
    </row>
    <row r="108" spans="1:16" x14ac:dyDescent="0.3">
      <c r="A108" t="s">
        <v>9</v>
      </c>
      <c r="B108">
        <v>21</v>
      </c>
      <c r="C108" t="s">
        <v>45</v>
      </c>
      <c r="D108">
        <v>34</v>
      </c>
      <c r="E108" s="2">
        <f t="shared" si="3"/>
        <v>34</v>
      </c>
      <c r="F108" t="s">
        <v>15</v>
      </c>
      <c r="I108">
        <v>44114</v>
      </c>
      <c r="M108">
        <f t="shared" si="4"/>
        <v>8.8228000000000004E-4</v>
      </c>
      <c r="N108">
        <v>8688382</v>
      </c>
      <c r="O108">
        <v>58097664</v>
      </c>
      <c r="P108" s="1" t="s">
        <v>195</v>
      </c>
    </row>
    <row r="109" spans="1:16" x14ac:dyDescent="0.3">
      <c r="A109" t="s">
        <v>9</v>
      </c>
      <c r="B109">
        <v>21</v>
      </c>
      <c r="C109" t="s">
        <v>45</v>
      </c>
      <c r="D109">
        <v>74</v>
      </c>
      <c r="E109" s="2">
        <f t="shared" si="3"/>
        <v>40</v>
      </c>
      <c r="F109" t="s">
        <v>14</v>
      </c>
      <c r="I109">
        <v>184446</v>
      </c>
      <c r="M109">
        <f t="shared" si="4"/>
        <v>3.68892E-3</v>
      </c>
      <c r="N109">
        <v>8688388</v>
      </c>
      <c r="O109">
        <v>58163200</v>
      </c>
      <c r="P109" s="1" t="s">
        <v>196</v>
      </c>
    </row>
    <row r="110" spans="1:16" x14ac:dyDescent="0.3">
      <c r="A110" t="s">
        <v>9</v>
      </c>
      <c r="B110">
        <v>21</v>
      </c>
      <c r="C110" t="s">
        <v>45</v>
      </c>
      <c r="D110">
        <v>98</v>
      </c>
      <c r="E110" s="2">
        <f t="shared" si="3"/>
        <v>24</v>
      </c>
      <c r="F110" t="s">
        <v>13</v>
      </c>
      <c r="I110">
        <v>152319</v>
      </c>
      <c r="M110">
        <f t="shared" si="4"/>
        <v>3.04638E-3</v>
      </c>
      <c r="N110">
        <v>7199180</v>
      </c>
      <c r="O110">
        <v>58486784</v>
      </c>
      <c r="P110" s="1" t="s">
        <v>322</v>
      </c>
    </row>
    <row r="111" spans="1:16" x14ac:dyDescent="0.3">
      <c r="A111" t="s">
        <v>9</v>
      </c>
      <c r="B111">
        <v>21</v>
      </c>
      <c r="C111" t="s">
        <v>45</v>
      </c>
      <c r="D111">
        <v>112</v>
      </c>
      <c r="E111" s="2">
        <f t="shared" si="3"/>
        <v>14</v>
      </c>
      <c r="F111" t="s">
        <v>12</v>
      </c>
      <c r="I111">
        <v>87951</v>
      </c>
      <c r="M111">
        <f t="shared" si="4"/>
        <v>1.75902E-3</v>
      </c>
      <c r="N111">
        <v>7199181</v>
      </c>
      <c r="O111">
        <v>58163200</v>
      </c>
      <c r="P111" s="1" t="s">
        <v>323</v>
      </c>
    </row>
    <row r="112" spans="1:16" x14ac:dyDescent="0.3">
      <c r="A112" t="s">
        <v>9</v>
      </c>
      <c r="B112">
        <v>21</v>
      </c>
      <c r="C112" t="s">
        <v>45</v>
      </c>
      <c r="D112">
        <v>124</v>
      </c>
      <c r="E112" s="2">
        <f t="shared" si="3"/>
        <v>12</v>
      </c>
      <c r="F112" t="s">
        <v>11</v>
      </c>
      <c r="I112">
        <v>64951</v>
      </c>
      <c r="M112">
        <f t="shared" si="4"/>
        <v>1.2990200000000001E-3</v>
      </c>
      <c r="N112">
        <v>8688391</v>
      </c>
      <c r="O112">
        <v>58388480</v>
      </c>
      <c r="P112" s="1" t="s">
        <v>197</v>
      </c>
    </row>
    <row r="113" spans="1:16" x14ac:dyDescent="0.3">
      <c r="A113" t="s">
        <v>9</v>
      </c>
      <c r="B113">
        <v>22</v>
      </c>
      <c r="C113" t="s">
        <v>44</v>
      </c>
      <c r="D113">
        <v>58</v>
      </c>
      <c r="E113" s="2">
        <f t="shared" si="3"/>
        <v>58</v>
      </c>
      <c r="F113" t="s">
        <v>15</v>
      </c>
      <c r="I113">
        <v>44114</v>
      </c>
      <c r="M113">
        <f t="shared" si="4"/>
        <v>8.8228000000000004E-4</v>
      </c>
      <c r="N113">
        <v>8688395</v>
      </c>
      <c r="O113">
        <v>57950208</v>
      </c>
      <c r="P113" s="1" t="s">
        <v>198</v>
      </c>
    </row>
    <row r="114" spans="1:16" x14ac:dyDescent="0.3">
      <c r="A114" t="s">
        <v>9</v>
      </c>
      <c r="B114">
        <v>22</v>
      </c>
      <c r="C114" t="s">
        <v>44</v>
      </c>
      <c r="D114">
        <v>76</v>
      </c>
      <c r="E114" s="2">
        <f t="shared" si="3"/>
        <v>18</v>
      </c>
      <c r="F114" t="s">
        <v>14</v>
      </c>
      <c r="I114">
        <v>184446</v>
      </c>
      <c r="M114">
        <f t="shared" si="4"/>
        <v>3.68892E-3</v>
      </c>
      <c r="N114">
        <v>8688400</v>
      </c>
      <c r="O114">
        <v>58150912</v>
      </c>
      <c r="P114" s="1" t="s">
        <v>199</v>
      </c>
    </row>
    <row r="115" spans="1:16" x14ac:dyDescent="0.3">
      <c r="A115" t="s">
        <v>9</v>
      </c>
      <c r="B115">
        <v>22</v>
      </c>
      <c r="C115" t="s">
        <v>44</v>
      </c>
      <c r="D115">
        <v>97</v>
      </c>
      <c r="E115" s="2">
        <f t="shared" si="3"/>
        <v>21</v>
      </c>
      <c r="F115" t="s">
        <v>13</v>
      </c>
      <c r="I115">
        <v>152319</v>
      </c>
      <c r="M115">
        <f t="shared" si="4"/>
        <v>3.04638E-3</v>
      </c>
      <c r="N115">
        <v>7199190</v>
      </c>
      <c r="O115">
        <v>58281984</v>
      </c>
      <c r="P115" s="1" t="s">
        <v>324</v>
      </c>
    </row>
    <row r="116" spans="1:16" x14ac:dyDescent="0.3">
      <c r="A116" t="s">
        <v>9</v>
      </c>
      <c r="B116">
        <v>22</v>
      </c>
      <c r="C116" t="s">
        <v>44</v>
      </c>
      <c r="D116">
        <v>111</v>
      </c>
      <c r="E116" s="2">
        <f t="shared" si="3"/>
        <v>14</v>
      </c>
      <c r="F116" t="s">
        <v>12</v>
      </c>
      <c r="I116">
        <v>87951</v>
      </c>
      <c r="M116">
        <f t="shared" si="4"/>
        <v>1.75902E-3</v>
      </c>
      <c r="N116">
        <v>7199191</v>
      </c>
      <c r="O116">
        <v>57835520</v>
      </c>
      <c r="P116" s="1" t="s">
        <v>325</v>
      </c>
    </row>
    <row r="117" spans="1:16" x14ac:dyDescent="0.3">
      <c r="A117" t="s">
        <v>9</v>
      </c>
      <c r="B117">
        <v>22</v>
      </c>
      <c r="C117" t="s">
        <v>44</v>
      </c>
      <c r="D117">
        <v>153</v>
      </c>
      <c r="E117" s="2">
        <f t="shared" si="3"/>
        <v>42</v>
      </c>
      <c r="F117" t="s">
        <v>11</v>
      </c>
      <c r="I117">
        <v>64951</v>
      </c>
      <c r="M117">
        <f t="shared" si="4"/>
        <v>1.2990200000000001E-3</v>
      </c>
      <c r="N117">
        <v>8688407</v>
      </c>
      <c r="O117">
        <v>57720832</v>
      </c>
      <c r="P117" s="1" t="s">
        <v>200</v>
      </c>
    </row>
    <row r="118" spans="1:16" x14ac:dyDescent="0.3">
      <c r="A118" t="s">
        <v>9</v>
      </c>
      <c r="B118">
        <v>23</v>
      </c>
      <c r="C118" t="s">
        <v>43</v>
      </c>
      <c r="D118">
        <v>52</v>
      </c>
      <c r="E118" s="2">
        <f t="shared" si="3"/>
        <v>52</v>
      </c>
      <c r="F118" t="s">
        <v>15</v>
      </c>
      <c r="I118">
        <v>44114</v>
      </c>
      <c r="M118">
        <f t="shared" si="4"/>
        <v>8.8228000000000004E-4</v>
      </c>
      <c r="N118">
        <v>8688414</v>
      </c>
      <c r="O118">
        <v>58310656</v>
      </c>
      <c r="P118" s="1" t="s">
        <v>201</v>
      </c>
    </row>
    <row r="119" spans="1:16" x14ac:dyDescent="0.3">
      <c r="A119" t="s">
        <v>9</v>
      </c>
      <c r="B119">
        <v>23</v>
      </c>
      <c r="C119" t="s">
        <v>43</v>
      </c>
      <c r="D119">
        <v>60</v>
      </c>
      <c r="E119" s="2">
        <f t="shared" si="3"/>
        <v>8</v>
      </c>
      <c r="F119" t="s">
        <v>14</v>
      </c>
      <c r="I119">
        <v>184446</v>
      </c>
      <c r="M119">
        <f t="shared" si="4"/>
        <v>3.68892E-3</v>
      </c>
      <c r="N119">
        <v>8688415</v>
      </c>
      <c r="O119">
        <v>58015744</v>
      </c>
      <c r="P119" s="1" t="s">
        <v>202</v>
      </c>
    </row>
    <row r="120" spans="1:16" x14ac:dyDescent="0.3">
      <c r="A120" t="s">
        <v>9</v>
      </c>
      <c r="B120">
        <v>23</v>
      </c>
      <c r="C120" t="s">
        <v>43</v>
      </c>
      <c r="D120">
        <v>71</v>
      </c>
      <c r="E120" s="2">
        <f t="shared" si="3"/>
        <v>11</v>
      </c>
      <c r="F120" t="s">
        <v>13</v>
      </c>
      <c r="I120">
        <v>152319</v>
      </c>
      <c r="M120">
        <f t="shared" si="4"/>
        <v>3.04638E-3</v>
      </c>
      <c r="N120">
        <v>7199200</v>
      </c>
      <c r="O120">
        <v>57946112</v>
      </c>
      <c r="P120" s="1" t="s">
        <v>326</v>
      </c>
    </row>
    <row r="121" spans="1:16" x14ac:dyDescent="0.3">
      <c r="A121" t="s">
        <v>9</v>
      </c>
      <c r="B121">
        <v>23</v>
      </c>
      <c r="C121" t="s">
        <v>43</v>
      </c>
      <c r="D121">
        <v>85</v>
      </c>
      <c r="E121" s="2">
        <f t="shared" si="3"/>
        <v>14</v>
      </c>
      <c r="F121" t="s">
        <v>12</v>
      </c>
      <c r="I121">
        <v>87951</v>
      </c>
      <c r="M121">
        <f t="shared" si="4"/>
        <v>1.75902E-3</v>
      </c>
      <c r="N121">
        <v>7199201</v>
      </c>
      <c r="O121">
        <v>58368000</v>
      </c>
      <c r="P121" s="1" t="s">
        <v>327</v>
      </c>
    </row>
    <row r="122" spans="1:16" x14ac:dyDescent="0.3">
      <c r="A122" t="s">
        <v>9</v>
      </c>
      <c r="B122">
        <v>23</v>
      </c>
      <c r="C122" t="s">
        <v>43</v>
      </c>
      <c r="D122">
        <v>110</v>
      </c>
      <c r="E122" s="2">
        <f t="shared" si="3"/>
        <v>25</v>
      </c>
      <c r="F122" t="s">
        <v>11</v>
      </c>
      <c r="I122">
        <v>64951</v>
      </c>
      <c r="M122">
        <f t="shared" si="4"/>
        <v>1.2990200000000001E-3</v>
      </c>
      <c r="N122">
        <v>8688418</v>
      </c>
      <c r="O122">
        <v>58748928</v>
      </c>
      <c r="P122" s="1" t="s">
        <v>203</v>
      </c>
    </row>
    <row r="123" spans="1:16" x14ac:dyDescent="0.3">
      <c r="A123" t="s">
        <v>9</v>
      </c>
      <c r="B123">
        <v>24</v>
      </c>
      <c r="C123" t="s">
        <v>42</v>
      </c>
      <c r="D123">
        <v>50</v>
      </c>
      <c r="E123" s="2">
        <f t="shared" si="3"/>
        <v>50</v>
      </c>
      <c r="F123" t="s">
        <v>15</v>
      </c>
      <c r="I123">
        <v>44114</v>
      </c>
      <c r="M123">
        <f t="shared" si="4"/>
        <v>8.8228000000000004E-4</v>
      </c>
      <c r="N123">
        <v>8688427</v>
      </c>
      <c r="O123">
        <v>58245120</v>
      </c>
      <c r="P123" s="1" t="s">
        <v>204</v>
      </c>
    </row>
    <row r="124" spans="1:16" x14ac:dyDescent="0.3">
      <c r="A124" t="s">
        <v>9</v>
      </c>
      <c r="B124">
        <v>24</v>
      </c>
      <c r="C124" t="s">
        <v>42</v>
      </c>
      <c r="D124">
        <v>82</v>
      </c>
      <c r="E124" s="2">
        <f t="shared" si="3"/>
        <v>32</v>
      </c>
      <c r="F124" t="s">
        <v>14</v>
      </c>
      <c r="I124">
        <v>184446</v>
      </c>
      <c r="M124">
        <f t="shared" si="4"/>
        <v>3.68892E-3</v>
      </c>
      <c r="N124">
        <v>8688433</v>
      </c>
      <c r="O124">
        <v>58642432</v>
      </c>
      <c r="P124" s="1" t="s">
        <v>205</v>
      </c>
    </row>
    <row r="125" spans="1:16" x14ac:dyDescent="0.3">
      <c r="A125" t="s">
        <v>9</v>
      </c>
      <c r="B125">
        <v>24</v>
      </c>
      <c r="C125" t="s">
        <v>42</v>
      </c>
      <c r="D125">
        <v>92</v>
      </c>
      <c r="E125" s="2">
        <f t="shared" si="3"/>
        <v>10</v>
      </c>
      <c r="F125" t="s">
        <v>13</v>
      </c>
      <c r="I125">
        <v>152319</v>
      </c>
      <c r="M125">
        <f t="shared" si="4"/>
        <v>3.04638E-3</v>
      </c>
      <c r="N125">
        <v>7199209</v>
      </c>
      <c r="O125">
        <v>58523648</v>
      </c>
      <c r="P125" s="1" t="s">
        <v>328</v>
      </c>
    </row>
    <row r="126" spans="1:16" x14ac:dyDescent="0.3">
      <c r="A126" t="s">
        <v>9</v>
      </c>
      <c r="B126">
        <v>24</v>
      </c>
      <c r="C126" t="s">
        <v>42</v>
      </c>
      <c r="D126">
        <v>120</v>
      </c>
      <c r="E126" s="2">
        <f t="shared" si="3"/>
        <v>28</v>
      </c>
      <c r="F126" t="s">
        <v>12</v>
      </c>
      <c r="I126">
        <v>87939</v>
      </c>
      <c r="M126">
        <f t="shared" si="4"/>
        <v>1.7587799999999999E-3</v>
      </c>
      <c r="N126">
        <v>7199210</v>
      </c>
      <c r="O126">
        <v>59162624</v>
      </c>
      <c r="P126" s="1" t="s">
        <v>329</v>
      </c>
    </row>
    <row r="127" spans="1:16" x14ac:dyDescent="0.3">
      <c r="A127" t="s">
        <v>9</v>
      </c>
      <c r="B127">
        <v>24</v>
      </c>
      <c r="C127" t="s">
        <v>42</v>
      </c>
      <c r="D127">
        <v>152</v>
      </c>
      <c r="E127" s="2">
        <f t="shared" si="3"/>
        <v>32</v>
      </c>
      <c r="F127" t="s">
        <v>11</v>
      </c>
      <c r="I127">
        <v>64939</v>
      </c>
      <c r="M127">
        <f t="shared" si="4"/>
        <v>1.29878E-3</v>
      </c>
      <c r="N127">
        <v>8688437</v>
      </c>
      <c r="O127">
        <v>58904576</v>
      </c>
      <c r="P127" s="1" t="s">
        <v>206</v>
      </c>
    </row>
    <row r="128" spans="1:16" x14ac:dyDescent="0.3">
      <c r="A128" t="s">
        <v>9</v>
      </c>
      <c r="B128">
        <v>25</v>
      </c>
      <c r="C128" t="s">
        <v>41</v>
      </c>
      <c r="D128">
        <v>72</v>
      </c>
      <c r="E128" s="2">
        <f t="shared" si="3"/>
        <v>72</v>
      </c>
      <c r="F128" t="s">
        <v>15</v>
      </c>
      <c r="I128">
        <v>44114</v>
      </c>
      <c r="M128">
        <f t="shared" si="4"/>
        <v>8.8228000000000004E-4</v>
      </c>
      <c r="N128">
        <v>8688445</v>
      </c>
      <c r="O128">
        <v>58552320</v>
      </c>
      <c r="P128" s="1" t="s">
        <v>207</v>
      </c>
    </row>
    <row r="129" spans="1:16" x14ac:dyDescent="0.3">
      <c r="A129" t="s">
        <v>9</v>
      </c>
      <c r="B129">
        <v>25</v>
      </c>
      <c r="C129" t="s">
        <v>41</v>
      </c>
      <c r="D129">
        <v>135</v>
      </c>
      <c r="E129" s="2">
        <f t="shared" si="3"/>
        <v>63</v>
      </c>
      <c r="F129" t="s">
        <v>14</v>
      </c>
      <c r="I129">
        <v>184446</v>
      </c>
      <c r="M129">
        <f t="shared" si="4"/>
        <v>3.68892E-3</v>
      </c>
      <c r="N129">
        <v>8688451</v>
      </c>
      <c r="O129">
        <v>58716160</v>
      </c>
      <c r="P129" s="1" t="s">
        <v>208</v>
      </c>
    </row>
    <row r="130" spans="1:16" x14ac:dyDescent="0.3">
      <c r="A130" t="s">
        <v>9</v>
      </c>
      <c r="B130">
        <v>25</v>
      </c>
      <c r="C130" t="s">
        <v>41</v>
      </c>
      <c r="D130">
        <v>147</v>
      </c>
      <c r="E130" s="2">
        <f t="shared" si="3"/>
        <v>12</v>
      </c>
      <c r="F130" t="s">
        <v>13</v>
      </c>
      <c r="I130">
        <v>152319</v>
      </c>
      <c r="M130">
        <f t="shared" si="4"/>
        <v>3.04638E-3</v>
      </c>
      <c r="N130">
        <v>7199225</v>
      </c>
      <c r="O130">
        <v>58621952</v>
      </c>
      <c r="P130" s="1" t="s">
        <v>330</v>
      </c>
    </row>
    <row r="131" spans="1:16" x14ac:dyDescent="0.3">
      <c r="A131" t="s">
        <v>9</v>
      </c>
      <c r="B131">
        <v>25</v>
      </c>
      <c r="C131" t="s">
        <v>41</v>
      </c>
      <c r="D131">
        <v>161</v>
      </c>
      <c r="E131" s="2">
        <f t="shared" si="3"/>
        <v>14</v>
      </c>
      <c r="F131" t="s">
        <v>12</v>
      </c>
      <c r="I131">
        <v>87951</v>
      </c>
      <c r="M131">
        <f t="shared" si="4"/>
        <v>1.75902E-3</v>
      </c>
      <c r="N131">
        <v>7199226</v>
      </c>
      <c r="O131">
        <v>59101184</v>
      </c>
      <c r="P131" s="1" t="s">
        <v>331</v>
      </c>
    </row>
    <row r="132" spans="1:16" x14ac:dyDescent="0.3">
      <c r="A132" t="s">
        <v>9</v>
      </c>
      <c r="B132">
        <v>25</v>
      </c>
      <c r="C132" t="s">
        <v>41</v>
      </c>
      <c r="D132">
        <v>216</v>
      </c>
      <c r="E132" s="2">
        <f t="shared" ref="E132:E195" si="5">IF(B132&lt;&gt;B131,D132,D132-D131)</f>
        <v>55</v>
      </c>
      <c r="F132" t="s">
        <v>11</v>
      </c>
      <c r="I132">
        <v>64951</v>
      </c>
      <c r="M132">
        <f t="shared" ref="M132:M195" si="6">0.00000002*I132</f>
        <v>1.2990200000000001E-3</v>
      </c>
      <c r="N132">
        <v>8688455</v>
      </c>
      <c r="O132">
        <v>59486208</v>
      </c>
      <c r="P132" s="1" t="s">
        <v>209</v>
      </c>
    </row>
    <row r="133" spans="1:16" x14ac:dyDescent="0.3">
      <c r="A133" t="s">
        <v>9</v>
      </c>
      <c r="B133">
        <v>26</v>
      </c>
      <c r="C133" t="s">
        <v>40</v>
      </c>
      <c r="D133">
        <v>18</v>
      </c>
      <c r="E133" s="2">
        <f t="shared" si="5"/>
        <v>18</v>
      </c>
      <c r="F133" t="s">
        <v>15</v>
      </c>
      <c r="I133">
        <v>44114</v>
      </c>
      <c r="M133">
        <f t="shared" si="6"/>
        <v>8.8228000000000004E-4</v>
      </c>
      <c r="N133">
        <v>8688461</v>
      </c>
      <c r="O133">
        <v>59977728</v>
      </c>
      <c r="P133" s="1" t="s">
        <v>210</v>
      </c>
    </row>
    <row r="134" spans="1:16" x14ac:dyDescent="0.3">
      <c r="A134" t="s">
        <v>9</v>
      </c>
      <c r="B134">
        <v>26</v>
      </c>
      <c r="C134" t="s">
        <v>40</v>
      </c>
      <c r="D134">
        <v>42</v>
      </c>
      <c r="E134" s="2">
        <f t="shared" si="5"/>
        <v>24</v>
      </c>
      <c r="F134" t="s">
        <v>14</v>
      </c>
      <c r="I134">
        <v>184446</v>
      </c>
      <c r="M134">
        <f t="shared" si="6"/>
        <v>3.68892E-3</v>
      </c>
      <c r="N134">
        <v>8688462</v>
      </c>
      <c r="O134">
        <v>58466304</v>
      </c>
      <c r="P134" s="1" t="s">
        <v>211</v>
      </c>
    </row>
    <row r="135" spans="1:16" x14ac:dyDescent="0.3">
      <c r="A135" t="s">
        <v>9</v>
      </c>
      <c r="B135">
        <v>26</v>
      </c>
      <c r="C135" t="s">
        <v>40</v>
      </c>
      <c r="D135">
        <v>62</v>
      </c>
      <c r="E135" s="2">
        <f t="shared" si="5"/>
        <v>20</v>
      </c>
      <c r="F135" t="s">
        <v>13</v>
      </c>
      <c r="I135">
        <v>152319</v>
      </c>
      <c r="M135">
        <f t="shared" si="6"/>
        <v>3.04638E-3</v>
      </c>
      <c r="N135">
        <v>7199235</v>
      </c>
      <c r="O135">
        <v>58441728</v>
      </c>
      <c r="P135" s="1" t="s">
        <v>332</v>
      </c>
    </row>
    <row r="136" spans="1:16" x14ac:dyDescent="0.3">
      <c r="A136" t="s">
        <v>9</v>
      </c>
      <c r="B136">
        <v>26</v>
      </c>
      <c r="C136" t="s">
        <v>40</v>
      </c>
      <c r="D136">
        <v>76</v>
      </c>
      <c r="E136" s="2">
        <f t="shared" si="5"/>
        <v>14</v>
      </c>
      <c r="F136" t="s">
        <v>12</v>
      </c>
      <c r="I136">
        <v>87951</v>
      </c>
      <c r="M136">
        <f t="shared" si="6"/>
        <v>1.75902E-3</v>
      </c>
      <c r="N136">
        <v>7199236</v>
      </c>
      <c r="O136">
        <v>58736640</v>
      </c>
      <c r="P136" s="1" t="s">
        <v>333</v>
      </c>
    </row>
    <row r="137" spans="1:16" x14ac:dyDescent="0.3">
      <c r="A137" t="s">
        <v>9</v>
      </c>
      <c r="B137">
        <v>26</v>
      </c>
      <c r="C137" t="s">
        <v>40</v>
      </c>
      <c r="D137">
        <v>134</v>
      </c>
      <c r="E137" s="2">
        <f t="shared" si="5"/>
        <v>58</v>
      </c>
      <c r="F137" t="s">
        <v>11</v>
      </c>
      <c r="I137">
        <v>64951</v>
      </c>
      <c r="M137">
        <f t="shared" si="6"/>
        <v>1.2990200000000001E-3</v>
      </c>
      <c r="N137">
        <v>8688472</v>
      </c>
      <c r="O137">
        <v>59183104</v>
      </c>
      <c r="P137" s="1" t="s">
        <v>212</v>
      </c>
    </row>
    <row r="138" spans="1:16" x14ac:dyDescent="0.3">
      <c r="A138" t="s">
        <v>9</v>
      </c>
      <c r="B138">
        <v>27</v>
      </c>
      <c r="C138" t="s">
        <v>39</v>
      </c>
      <c r="D138">
        <v>80</v>
      </c>
      <c r="E138" s="2">
        <f t="shared" si="5"/>
        <v>80</v>
      </c>
      <c r="F138" t="s">
        <v>15</v>
      </c>
      <c r="I138">
        <v>44114</v>
      </c>
      <c r="M138">
        <f t="shared" si="6"/>
        <v>8.8228000000000004E-4</v>
      </c>
      <c r="N138">
        <v>8688477</v>
      </c>
      <c r="O138">
        <v>59502592</v>
      </c>
      <c r="P138" s="1" t="s">
        <v>213</v>
      </c>
    </row>
    <row r="139" spans="1:16" x14ac:dyDescent="0.3">
      <c r="A139" t="s">
        <v>9</v>
      </c>
      <c r="B139">
        <v>27</v>
      </c>
      <c r="C139" t="s">
        <v>39</v>
      </c>
      <c r="D139">
        <v>106</v>
      </c>
      <c r="E139" s="2">
        <f t="shared" si="5"/>
        <v>26</v>
      </c>
      <c r="F139" t="s">
        <v>14</v>
      </c>
      <c r="I139">
        <v>184446</v>
      </c>
      <c r="M139">
        <f t="shared" si="6"/>
        <v>3.68892E-3</v>
      </c>
      <c r="N139">
        <v>8688480</v>
      </c>
      <c r="O139">
        <v>59068416</v>
      </c>
      <c r="P139" s="1" t="s">
        <v>214</v>
      </c>
    </row>
    <row r="140" spans="1:16" x14ac:dyDescent="0.3">
      <c r="A140" t="s">
        <v>9</v>
      </c>
      <c r="B140">
        <v>27</v>
      </c>
      <c r="C140" t="s">
        <v>39</v>
      </c>
      <c r="D140">
        <v>131</v>
      </c>
      <c r="E140" s="2">
        <f t="shared" si="5"/>
        <v>25</v>
      </c>
      <c r="F140" t="s">
        <v>13</v>
      </c>
      <c r="I140">
        <v>152319</v>
      </c>
      <c r="M140">
        <f t="shared" si="6"/>
        <v>3.04638E-3</v>
      </c>
      <c r="N140">
        <v>7199250</v>
      </c>
      <c r="O140">
        <v>58740736</v>
      </c>
      <c r="P140" s="1" t="s">
        <v>334</v>
      </c>
    </row>
    <row r="141" spans="1:16" x14ac:dyDescent="0.3">
      <c r="A141" t="s">
        <v>9</v>
      </c>
      <c r="B141">
        <v>27</v>
      </c>
      <c r="C141" t="s">
        <v>39</v>
      </c>
      <c r="D141">
        <v>145</v>
      </c>
      <c r="E141" s="2">
        <f t="shared" si="5"/>
        <v>14</v>
      </c>
      <c r="F141" t="s">
        <v>12</v>
      </c>
      <c r="I141">
        <v>87951</v>
      </c>
      <c r="M141">
        <f t="shared" si="6"/>
        <v>1.75902E-3</v>
      </c>
      <c r="N141">
        <v>7199251</v>
      </c>
      <c r="O141">
        <v>59047936</v>
      </c>
      <c r="P141" s="1" t="s">
        <v>335</v>
      </c>
    </row>
    <row r="142" spans="1:16" x14ac:dyDescent="0.3">
      <c r="A142" t="s">
        <v>9</v>
      </c>
      <c r="B142">
        <v>27</v>
      </c>
      <c r="C142" t="s">
        <v>39</v>
      </c>
      <c r="D142">
        <v>173</v>
      </c>
      <c r="E142" s="2">
        <f t="shared" si="5"/>
        <v>28</v>
      </c>
      <c r="F142" t="s">
        <v>11</v>
      </c>
      <c r="I142">
        <v>64951</v>
      </c>
      <c r="M142">
        <f t="shared" si="6"/>
        <v>1.2990200000000001E-3</v>
      </c>
      <c r="N142">
        <v>8688483</v>
      </c>
      <c r="O142">
        <v>59199488</v>
      </c>
      <c r="P142" s="1" t="s">
        <v>215</v>
      </c>
    </row>
    <row r="143" spans="1:16" x14ac:dyDescent="0.3">
      <c r="A143" t="s">
        <v>9</v>
      </c>
      <c r="B143">
        <v>28</v>
      </c>
      <c r="C143" t="s">
        <v>38</v>
      </c>
      <c r="D143">
        <v>58</v>
      </c>
      <c r="E143" s="2">
        <f t="shared" si="5"/>
        <v>58</v>
      </c>
      <c r="F143" t="s">
        <v>15</v>
      </c>
      <c r="I143">
        <v>44114</v>
      </c>
      <c r="M143">
        <f t="shared" si="6"/>
        <v>8.8228000000000004E-4</v>
      </c>
      <c r="N143">
        <v>8688485</v>
      </c>
      <c r="O143">
        <v>59670528</v>
      </c>
      <c r="P143" s="1" t="s">
        <v>216</v>
      </c>
    </row>
    <row r="144" spans="1:16" x14ac:dyDescent="0.3">
      <c r="A144" t="s">
        <v>9</v>
      </c>
      <c r="B144">
        <v>28</v>
      </c>
      <c r="C144" t="s">
        <v>38</v>
      </c>
      <c r="D144">
        <v>82</v>
      </c>
      <c r="E144" s="2">
        <f t="shared" si="5"/>
        <v>24</v>
      </c>
      <c r="F144" t="s">
        <v>14</v>
      </c>
      <c r="I144">
        <v>184446</v>
      </c>
      <c r="M144">
        <f t="shared" si="6"/>
        <v>3.68892E-3</v>
      </c>
      <c r="N144">
        <v>8688488</v>
      </c>
      <c r="O144">
        <v>59809792</v>
      </c>
      <c r="P144" s="1" t="s">
        <v>217</v>
      </c>
    </row>
    <row r="145" spans="1:16" x14ac:dyDescent="0.3">
      <c r="A145" t="s">
        <v>9</v>
      </c>
      <c r="B145">
        <v>28</v>
      </c>
      <c r="C145" t="s">
        <v>38</v>
      </c>
      <c r="D145">
        <v>98</v>
      </c>
      <c r="E145" s="2">
        <f t="shared" si="5"/>
        <v>16</v>
      </c>
      <c r="F145" t="s">
        <v>13</v>
      </c>
      <c r="I145">
        <v>152319</v>
      </c>
      <c r="M145">
        <f t="shared" si="6"/>
        <v>3.04638E-3</v>
      </c>
      <c r="N145">
        <v>7199261</v>
      </c>
      <c r="O145">
        <v>59428864</v>
      </c>
      <c r="P145" s="1" t="s">
        <v>336</v>
      </c>
    </row>
    <row r="146" spans="1:16" x14ac:dyDescent="0.3">
      <c r="A146" t="s">
        <v>9</v>
      </c>
      <c r="B146">
        <v>28</v>
      </c>
      <c r="C146" t="s">
        <v>38</v>
      </c>
      <c r="D146">
        <v>116</v>
      </c>
      <c r="E146" s="2">
        <f t="shared" si="5"/>
        <v>18</v>
      </c>
      <c r="F146" t="s">
        <v>12</v>
      </c>
      <c r="I146">
        <v>87951</v>
      </c>
      <c r="M146">
        <f t="shared" si="6"/>
        <v>1.75902E-3</v>
      </c>
      <c r="N146">
        <v>7199262</v>
      </c>
      <c r="O146">
        <v>59826176</v>
      </c>
      <c r="P146" s="1" t="s">
        <v>337</v>
      </c>
    </row>
    <row r="147" spans="1:16" x14ac:dyDescent="0.3">
      <c r="A147" t="s">
        <v>9</v>
      </c>
      <c r="B147">
        <v>28</v>
      </c>
      <c r="C147" t="s">
        <v>38</v>
      </c>
      <c r="D147">
        <v>146</v>
      </c>
      <c r="E147" s="2">
        <f t="shared" si="5"/>
        <v>30</v>
      </c>
      <c r="F147" t="s">
        <v>11</v>
      </c>
      <c r="I147">
        <v>64951</v>
      </c>
      <c r="M147">
        <f t="shared" si="6"/>
        <v>1.2990200000000001E-3</v>
      </c>
      <c r="N147">
        <v>8688497</v>
      </c>
      <c r="O147">
        <v>59854848</v>
      </c>
      <c r="P147" s="1" t="s">
        <v>218</v>
      </c>
    </row>
    <row r="148" spans="1:16" x14ac:dyDescent="0.3">
      <c r="A148" t="s">
        <v>9</v>
      </c>
      <c r="B148">
        <v>29</v>
      </c>
      <c r="C148" t="s">
        <v>37</v>
      </c>
      <c r="D148">
        <v>12</v>
      </c>
      <c r="E148" s="2">
        <f t="shared" si="5"/>
        <v>12</v>
      </c>
      <c r="F148" t="s">
        <v>15</v>
      </c>
      <c r="I148">
        <v>44114</v>
      </c>
      <c r="M148">
        <f t="shared" si="6"/>
        <v>8.8228000000000004E-4</v>
      </c>
      <c r="N148">
        <v>8688499</v>
      </c>
      <c r="O148">
        <v>59764736</v>
      </c>
      <c r="P148" s="1" t="s">
        <v>219</v>
      </c>
    </row>
    <row r="149" spans="1:16" x14ac:dyDescent="0.3">
      <c r="A149" t="s">
        <v>9</v>
      </c>
      <c r="B149">
        <v>29</v>
      </c>
      <c r="C149" t="s">
        <v>37</v>
      </c>
      <c r="D149">
        <v>42</v>
      </c>
      <c r="E149" s="2">
        <f t="shared" si="5"/>
        <v>30</v>
      </c>
      <c r="F149" t="s">
        <v>14</v>
      </c>
      <c r="I149">
        <v>184434</v>
      </c>
      <c r="M149">
        <f t="shared" si="6"/>
        <v>3.6886800000000002E-3</v>
      </c>
      <c r="N149">
        <v>8688502</v>
      </c>
      <c r="O149">
        <v>59904000</v>
      </c>
      <c r="P149" s="1" t="s">
        <v>220</v>
      </c>
    </row>
    <row r="150" spans="1:16" x14ac:dyDescent="0.3">
      <c r="A150" t="s">
        <v>9</v>
      </c>
      <c r="B150">
        <v>29</v>
      </c>
      <c r="C150" t="s">
        <v>37</v>
      </c>
      <c r="D150">
        <v>48</v>
      </c>
      <c r="E150" s="2">
        <f t="shared" si="5"/>
        <v>6</v>
      </c>
      <c r="F150" t="s">
        <v>13</v>
      </c>
      <c r="I150">
        <v>152307</v>
      </c>
      <c r="M150">
        <f t="shared" si="6"/>
        <v>3.0461400000000001E-3</v>
      </c>
      <c r="N150">
        <v>7199269</v>
      </c>
      <c r="O150">
        <v>59817984</v>
      </c>
      <c r="P150" s="1" t="s">
        <v>339</v>
      </c>
    </row>
    <row r="151" spans="1:16" x14ac:dyDescent="0.3">
      <c r="A151" t="s">
        <v>9</v>
      </c>
      <c r="B151">
        <v>29</v>
      </c>
      <c r="C151" t="s">
        <v>37</v>
      </c>
      <c r="D151">
        <v>68</v>
      </c>
      <c r="E151" s="2">
        <f t="shared" si="5"/>
        <v>20</v>
      </c>
      <c r="F151" t="s">
        <v>12</v>
      </c>
      <c r="I151">
        <v>87951</v>
      </c>
      <c r="M151">
        <f t="shared" si="6"/>
        <v>1.75902E-3</v>
      </c>
      <c r="N151">
        <v>7199270</v>
      </c>
      <c r="O151">
        <v>59383808</v>
      </c>
      <c r="P151" s="1" t="s">
        <v>338</v>
      </c>
    </row>
    <row r="152" spans="1:16" x14ac:dyDescent="0.3">
      <c r="A152" t="s">
        <v>9</v>
      </c>
      <c r="B152">
        <v>29</v>
      </c>
      <c r="C152" t="s">
        <v>37</v>
      </c>
      <c r="D152">
        <v>104</v>
      </c>
      <c r="E152" s="2">
        <f t="shared" si="5"/>
        <v>36</v>
      </c>
      <c r="F152" t="s">
        <v>11</v>
      </c>
      <c r="I152">
        <v>64951</v>
      </c>
      <c r="M152">
        <f t="shared" si="6"/>
        <v>1.2990200000000001E-3</v>
      </c>
      <c r="N152">
        <v>8688506</v>
      </c>
      <c r="O152">
        <v>59424768</v>
      </c>
      <c r="P152" s="1" t="s">
        <v>221</v>
      </c>
    </row>
    <row r="153" spans="1:16" x14ac:dyDescent="0.3">
      <c r="A153" t="s">
        <v>9</v>
      </c>
      <c r="B153">
        <v>30</v>
      </c>
      <c r="C153" t="s">
        <v>34</v>
      </c>
      <c r="D153">
        <v>38</v>
      </c>
      <c r="E153" s="2">
        <f t="shared" si="5"/>
        <v>38</v>
      </c>
      <c r="F153" t="s">
        <v>15</v>
      </c>
      <c r="I153">
        <v>44114</v>
      </c>
      <c r="M153">
        <f t="shared" si="6"/>
        <v>8.8228000000000004E-4</v>
      </c>
      <c r="N153">
        <v>8688511</v>
      </c>
      <c r="O153">
        <v>60375040</v>
      </c>
      <c r="P153" s="1" t="s">
        <v>222</v>
      </c>
    </row>
    <row r="154" spans="1:16" x14ac:dyDescent="0.3">
      <c r="A154" t="s">
        <v>9</v>
      </c>
      <c r="B154">
        <v>30</v>
      </c>
      <c r="C154" t="s">
        <v>34</v>
      </c>
      <c r="D154">
        <v>94</v>
      </c>
      <c r="E154" s="2">
        <f t="shared" si="5"/>
        <v>56</v>
      </c>
      <c r="F154" t="s">
        <v>14</v>
      </c>
      <c r="I154">
        <v>184446</v>
      </c>
      <c r="M154">
        <f t="shared" si="6"/>
        <v>3.68892E-3</v>
      </c>
      <c r="N154">
        <v>8688514</v>
      </c>
      <c r="O154">
        <v>60477440</v>
      </c>
      <c r="P154" s="1" t="s">
        <v>223</v>
      </c>
    </row>
    <row r="155" spans="1:16" x14ac:dyDescent="0.3">
      <c r="A155" t="s">
        <v>9</v>
      </c>
      <c r="B155">
        <v>30</v>
      </c>
      <c r="C155" t="s">
        <v>34</v>
      </c>
      <c r="D155">
        <v>121</v>
      </c>
      <c r="E155" s="2">
        <f t="shared" si="5"/>
        <v>27</v>
      </c>
      <c r="F155" t="s">
        <v>13</v>
      </c>
      <c r="I155">
        <v>152319</v>
      </c>
      <c r="M155">
        <f t="shared" si="6"/>
        <v>3.04638E-3</v>
      </c>
      <c r="N155">
        <v>7199282</v>
      </c>
      <c r="O155">
        <v>60358656</v>
      </c>
      <c r="P155" t="s">
        <v>36</v>
      </c>
    </row>
    <row r="156" spans="1:16" x14ac:dyDescent="0.3">
      <c r="A156" t="s">
        <v>9</v>
      </c>
      <c r="B156">
        <v>30</v>
      </c>
      <c r="C156" t="s">
        <v>34</v>
      </c>
      <c r="D156">
        <v>135</v>
      </c>
      <c r="E156" s="2">
        <f t="shared" si="5"/>
        <v>14</v>
      </c>
      <c r="F156" t="s">
        <v>12</v>
      </c>
      <c r="I156">
        <v>87951</v>
      </c>
      <c r="M156">
        <f t="shared" si="6"/>
        <v>1.75902E-3</v>
      </c>
      <c r="N156">
        <v>7199283</v>
      </c>
      <c r="O156">
        <v>59645952</v>
      </c>
      <c r="P156" t="s">
        <v>35</v>
      </c>
    </row>
    <row r="157" spans="1:16" x14ac:dyDescent="0.3">
      <c r="A157" t="s">
        <v>9</v>
      </c>
      <c r="B157">
        <v>30</v>
      </c>
      <c r="C157" t="s">
        <v>34</v>
      </c>
      <c r="D157">
        <v>165</v>
      </c>
      <c r="E157" s="2">
        <f t="shared" si="5"/>
        <v>30</v>
      </c>
      <c r="F157" t="s">
        <v>11</v>
      </c>
      <c r="I157">
        <v>64951</v>
      </c>
      <c r="M157">
        <f t="shared" si="6"/>
        <v>1.2990200000000001E-3</v>
      </c>
      <c r="N157">
        <v>8688520</v>
      </c>
      <c r="O157">
        <v>59731968</v>
      </c>
      <c r="P157" s="1" t="s">
        <v>224</v>
      </c>
    </row>
    <row r="158" spans="1:16" x14ac:dyDescent="0.3">
      <c r="A158" t="s">
        <v>9</v>
      </c>
      <c r="B158">
        <v>31</v>
      </c>
      <c r="C158" t="s">
        <v>33</v>
      </c>
      <c r="D158">
        <v>44</v>
      </c>
      <c r="E158" s="2">
        <f t="shared" si="5"/>
        <v>44</v>
      </c>
      <c r="F158" t="s">
        <v>15</v>
      </c>
      <c r="I158">
        <v>44114</v>
      </c>
      <c r="M158">
        <f t="shared" si="6"/>
        <v>8.8228000000000004E-4</v>
      </c>
      <c r="N158">
        <v>8688527</v>
      </c>
      <c r="O158">
        <v>59457536</v>
      </c>
      <c r="P158" s="1" t="s">
        <v>225</v>
      </c>
    </row>
    <row r="159" spans="1:16" x14ac:dyDescent="0.3">
      <c r="A159" t="s">
        <v>9</v>
      </c>
      <c r="B159">
        <v>31</v>
      </c>
      <c r="C159" t="s">
        <v>33</v>
      </c>
      <c r="D159">
        <v>52</v>
      </c>
      <c r="E159" s="2">
        <f t="shared" si="5"/>
        <v>8</v>
      </c>
      <c r="F159" t="s">
        <v>14</v>
      </c>
      <c r="I159">
        <v>184446</v>
      </c>
      <c r="M159">
        <f t="shared" si="6"/>
        <v>3.68892E-3</v>
      </c>
      <c r="N159">
        <v>8688531</v>
      </c>
      <c r="O159">
        <v>60207104</v>
      </c>
      <c r="P159" s="1" t="s">
        <v>226</v>
      </c>
    </row>
    <row r="160" spans="1:16" x14ac:dyDescent="0.3">
      <c r="A160" t="s">
        <v>9</v>
      </c>
      <c r="B160">
        <v>31</v>
      </c>
      <c r="C160" t="s">
        <v>33</v>
      </c>
      <c r="D160">
        <v>69</v>
      </c>
      <c r="E160" s="2">
        <f t="shared" si="5"/>
        <v>17</v>
      </c>
      <c r="F160" t="s">
        <v>13</v>
      </c>
      <c r="I160">
        <v>152319</v>
      </c>
      <c r="M160">
        <f t="shared" si="6"/>
        <v>3.04638E-3</v>
      </c>
      <c r="N160">
        <v>7199291</v>
      </c>
      <c r="O160">
        <v>60080128</v>
      </c>
      <c r="P160" s="1" t="s">
        <v>340</v>
      </c>
    </row>
    <row r="161" spans="1:16" x14ac:dyDescent="0.3">
      <c r="A161" t="s">
        <v>9</v>
      </c>
      <c r="B161">
        <v>31</v>
      </c>
      <c r="C161" t="s">
        <v>33</v>
      </c>
      <c r="D161">
        <v>83</v>
      </c>
      <c r="E161" s="2">
        <f t="shared" si="5"/>
        <v>14</v>
      </c>
      <c r="F161" t="s">
        <v>12</v>
      </c>
      <c r="I161">
        <v>87951</v>
      </c>
      <c r="M161">
        <f t="shared" si="6"/>
        <v>1.75902E-3</v>
      </c>
      <c r="N161">
        <v>7199292</v>
      </c>
      <c r="O161">
        <v>59424768</v>
      </c>
      <c r="P161" s="1" t="s">
        <v>341</v>
      </c>
    </row>
    <row r="162" spans="1:16" x14ac:dyDescent="0.3">
      <c r="A162" t="s">
        <v>9</v>
      </c>
      <c r="B162">
        <v>31</v>
      </c>
      <c r="C162" t="s">
        <v>33</v>
      </c>
      <c r="D162">
        <v>103</v>
      </c>
      <c r="E162" s="2">
        <f t="shared" si="5"/>
        <v>20</v>
      </c>
      <c r="F162" t="s">
        <v>11</v>
      </c>
      <c r="I162">
        <v>64951</v>
      </c>
      <c r="M162">
        <f t="shared" si="6"/>
        <v>1.2990200000000001E-3</v>
      </c>
      <c r="N162">
        <v>8688534</v>
      </c>
      <c r="O162">
        <v>60026880</v>
      </c>
      <c r="P162" s="1" t="s">
        <v>227</v>
      </c>
    </row>
    <row r="163" spans="1:16" x14ac:dyDescent="0.3">
      <c r="A163" t="s">
        <v>9</v>
      </c>
      <c r="B163">
        <v>32</v>
      </c>
      <c r="C163" t="s">
        <v>32</v>
      </c>
      <c r="D163">
        <v>24</v>
      </c>
      <c r="E163" s="2">
        <f t="shared" si="5"/>
        <v>24</v>
      </c>
      <c r="F163" t="s">
        <v>15</v>
      </c>
      <c r="I163">
        <v>44114</v>
      </c>
      <c r="M163">
        <f t="shared" si="6"/>
        <v>8.8228000000000004E-4</v>
      </c>
      <c r="N163">
        <v>8688540</v>
      </c>
      <c r="O163">
        <v>59879424</v>
      </c>
      <c r="P163" s="1" t="s">
        <v>228</v>
      </c>
    </row>
    <row r="164" spans="1:16" x14ac:dyDescent="0.3">
      <c r="A164" t="s">
        <v>9</v>
      </c>
      <c r="B164">
        <v>32</v>
      </c>
      <c r="C164" t="s">
        <v>32</v>
      </c>
      <c r="D164">
        <v>36</v>
      </c>
      <c r="E164" s="2">
        <f t="shared" si="5"/>
        <v>12</v>
      </c>
      <c r="F164" t="s">
        <v>14</v>
      </c>
      <c r="I164">
        <v>184446</v>
      </c>
      <c r="M164">
        <f t="shared" si="6"/>
        <v>3.68892E-3</v>
      </c>
      <c r="N164">
        <v>8688543</v>
      </c>
      <c r="O164">
        <v>59928576</v>
      </c>
      <c r="P164" s="1" t="s">
        <v>229</v>
      </c>
    </row>
    <row r="165" spans="1:16" x14ac:dyDescent="0.3">
      <c r="A165" t="s">
        <v>9</v>
      </c>
      <c r="B165">
        <v>32</v>
      </c>
      <c r="C165" t="s">
        <v>32</v>
      </c>
      <c r="D165">
        <v>48</v>
      </c>
      <c r="E165" s="2">
        <f t="shared" si="5"/>
        <v>12</v>
      </c>
      <c r="F165" t="s">
        <v>13</v>
      </c>
      <c r="I165">
        <v>152307</v>
      </c>
      <c r="M165">
        <f t="shared" si="6"/>
        <v>3.0461400000000001E-3</v>
      </c>
      <c r="N165">
        <v>7199298</v>
      </c>
      <c r="O165">
        <v>59858944</v>
      </c>
      <c r="P165" s="1" t="s">
        <v>343</v>
      </c>
    </row>
    <row r="166" spans="1:16" x14ac:dyDescent="0.3">
      <c r="A166" t="s">
        <v>9</v>
      </c>
      <c r="B166">
        <v>32</v>
      </c>
      <c r="C166" t="s">
        <v>32</v>
      </c>
      <c r="D166">
        <v>62</v>
      </c>
      <c r="E166" s="2">
        <f t="shared" si="5"/>
        <v>14</v>
      </c>
      <c r="F166" t="s">
        <v>12</v>
      </c>
      <c r="I166">
        <v>87939</v>
      </c>
      <c r="M166">
        <f t="shared" si="6"/>
        <v>1.7587799999999999E-3</v>
      </c>
      <c r="N166">
        <v>7199299</v>
      </c>
      <c r="O166">
        <v>59392000</v>
      </c>
      <c r="P166" s="1" t="s">
        <v>342</v>
      </c>
    </row>
    <row r="167" spans="1:16" x14ac:dyDescent="0.3">
      <c r="A167" t="s">
        <v>9</v>
      </c>
      <c r="B167">
        <v>32</v>
      </c>
      <c r="C167" t="s">
        <v>32</v>
      </c>
      <c r="D167">
        <v>96</v>
      </c>
      <c r="E167" s="2">
        <f t="shared" si="5"/>
        <v>34</v>
      </c>
      <c r="F167" t="s">
        <v>11</v>
      </c>
      <c r="I167">
        <v>64939</v>
      </c>
      <c r="M167">
        <f t="shared" si="6"/>
        <v>1.29878E-3</v>
      </c>
      <c r="N167">
        <v>8688547</v>
      </c>
      <c r="O167">
        <v>60063744</v>
      </c>
      <c r="P167" s="1" t="s">
        <v>230</v>
      </c>
    </row>
    <row r="168" spans="1:16" x14ac:dyDescent="0.3">
      <c r="A168" t="s">
        <v>9</v>
      </c>
      <c r="B168">
        <v>33</v>
      </c>
      <c r="C168" t="s">
        <v>31</v>
      </c>
      <c r="D168">
        <v>112</v>
      </c>
      <c r="E168" s="2">
        <f t="shared" si="5"/>
        <v>112</v>
      </c>
      <c r="F168" t="s">
        <v>15</v>
      </c>
      <c r="I168">
        <v>44114</v>
      </c>
      <c r="M168">
        <f t="shared" si="6"/>
        <v>8.8228000000000004E-4</v>
      </c>
      <c r="N168">
        <v>8688552</v>
      </c>
      <c r="O168">
        <v>59412480</v>
      </c>
      <c r="P168" s="1" t="s">
        <v>231</v>
      </c>
    </row>
    <row r="169" spans="1:16" x14ac:dyDescent="0.3">
      <c r="A169" t="s">
        <v>9</v>
      </c>
      <c r="B169">
        <v>33</v>
      </c>
      <c r="C169" t="s">
        <v>31</v>
      </c>
      <c r="D169">
        <v>138</v>
      </c>
      <c r="E169" s="2">
        <f t="shared" si="5"/>
        <v>26</v>
      </c>
      <c r="F169" t="s">
        <v>14</v>
      </c>
      <c r="I169">
        <v>184446</v>
      </c>
      <c r="M169">
        <f t="shared" si="6"/>
        <v>3.68892E-3</v>
      </c>
      <c r="N169">
        <v>8688555</v>
      </c>
      <c r="O169">
        <v>59633664</v>
      </c>
      <c r="P169" s="1" t="s">
        <v>232</v>
      </c>
    </row>
    <row r="170" spans="1:16" x14ac:dyDescent="0.3">
      <c r="A170" t="s">
        <v>9</v>
      </c>
      <c r="B170">
        <v>33</v>
      </c>
      <c r="C170" t="s">
        <v>31</v>
      </c>
      <c r="D170">
        <v>155</v>
      </c>
      <c r="E170" s="2">
        <f t="shared" si="5"/>
        <v>17</v>
      </c>
      <c r="F170" t="s">
        <v>13</v>
      </c>
      <c r="I170">
        <v>152319</v>
      </c>
      <c r="M170">
        <f t="shared" si="6"/>
        <v>3.04638E-3</v>
      </c>
      <c r="N170">
        <v>7199313</v>
      </c>
      <c r="O170">
        <v>60506112</v>
      </c>
      <c r="P170" s="1" t="s">
        <v>344</v>
      </c>
    </row>
    <row r="171" spans="1:16" x14ac:dyDescent="0.3">
      <c r="A171" t="s">
        <v>9</v>
      </c>
      <c r="B171">
        <v>33</v>
      </c>
      <c r="C171" t="s">
        <v>31</v>
      </c>
      <c r="D171">
        <v>169</v>
      </c>
      <c r="E171" s="2">
        <f t="shared" si="5"/>
        <v>14</v>
      </c>
      <c r="F171" t="s">
        <v>12</v>
      </c>
      <c r="I171">
        <v>87951</v>
      </c>
      <c r="M171">
        <f t="shared" si="6"/>
        <v>1.75902E-3</v>
      </c>
      <c r="N171">
        <v>7199314</v>
      </c>
      <c r="O171">
        <v>59793408</v>
      </c>
      <c r="P171" s="1" t="s">
        <v>345</v>
      </c>
    </row>
    <row r="172" spans="1:16" x14ac:dyDescent="0.3">
      <c r="A172" t="s">
        <v>9</v>
      </c>
      <c r="B172">
        <v>33</v>
      </c>
      <c r="C172" t="s">
        <v>31</v>
      </c>
      <c r="D172">
        <v>205</v>
      </c>
      <c r="E172" s="2">
        <f t="shared" si="5"/>
        <v>36</v>
      </c>
      <c r="F172" t="s">
        <v>11</v>
      </c>
      <c r="I172">
        <v>64951</v>
      </c>
      <c r="M172">
        <f t="shared" si="6"/>
        <v>1.2990200000000001E-3</v>
      </c>
      <c r="N172">
        <v>8688568</v>
      </c>
      <c r="O172">
        <v>59609088</v>
      </c>
      <c r="P172" s="1" t="s">
        <v>233</v>
      </c>
    </row>
    <row r="173" spans="1:16" x14ac:dyDescent="0.3">
      <c r="A173" t="s">
        <v>9</v>
      </c>
      <c r="B173">
        <v>34</v>
      </c>
      <c r="C173" t="s">
        <v>30</v>
      </c>
      <c r="D173">
        <v>32</v>
      </c>
      <c r="E173" s="2">
        <f t="shared" si="5"/>
        <v>32</v>
      </c>
      <c r="F173" t="s">
        <v>15</v>
      </c>
      <c r="I173">
        <v>44114</v>
      </c>
      <c r="M173">
        <f t="shared" si="6"/>
        <v>8.8228000000000004E-4</v>
      </c>
      <c r="N173">
        <v>8688569</v>
      </c>
      <c r="O173">
        <v>60530688</v>
      </c>
      <c r="P173" s="1" t="s">
        <v>234</v>
      </c>
    </row>
    <row r="174" spans="1:16" x14ac:dyDescent="0.3">
      <c r="A174" t="s">
        <v>9</v>
      </c>
      <c r="B174">
        <v>34</v>
      </c>
      <c r="C174" t="s">
        <v>30</v>
      </c>
      <c r="D174">
        <v>54</v>
      </c>
      <c r="E174" s="2">
        <f t="shared" si="5"/>
        <v>22</v>
      </c>
      <c r="F174" t="s">
        <v>14</v>
      </c>
      <c r="I174">
        <v>184446</v>
      </c>
      <c r="M174">
        <f t="shared" si="6"/>
        <v>3.68892E-3</v>
      </c>
      <c r="N174">
        <v>8688571</v>
      </c>
      <c r="O174">
        <v>59637760</v>
      </c>
      <c r="P174" s="1" t="s">
        <v>235</v>
      </c>
    </row>
    <row r="175" spans="1:16" x14ac:dyDescent="0.3">
      <c r="A175" t="s">
        <v>9</v>
      </c>
      <c r="B175">
        <v>34</v>
      </c>
      <c r="C175" t="s">
        <v>30</v>
      </c>
      <c r="D175">
        <v>81</v>
      </c>
      <c r="E175" s="2">
        <f t="shared" si="5"/>
        <v>27</v>
      </c>
      <c r="F175" t="s">
        <v>13</v>
      </c>
      <c r="I175">
        <v>152319</v>
      </c>
      <c r="M175">
        <f t="shared" si="6"/>
        <v>3.04638E-3</v>
      </c>
      <c r="N175">
        <v>7199323</v>
      </c>
      <c r="O175">
        <v>59817984</v>
      </c>
      <c r="P175" s="1" t="s">
        <v>346</v>
      </c>
    </row>
    <row r="176" spans="1:16" x14ac:dyDescent="0.3">
      <c r="A176" t="s">
        <v>9</v>
      </c>
      <c r="B176">
        <v>34</v>
      </c>
      <c r="C176" t="s">
        <v>30</v>
      </c>
      <c r="D176">
        <v>105</v>
      </c>
      <c r="E176" s="2">
        <f t="shared" si="5"/>
        <v>24</v>
      </c>
      <c r="F176" t="s">
        <v>12</v>
      </c>
      <c r="I176">
        <v>87951</v>
      </c>
      <c r="M176">
        <f t="shared" si="6"/>
        <v>1.75902E-3</v>
      </c>
      <c r="N176">
        <v>7199325</v>
      </c>
      <c r="O176">
        <v>59998208</v>
      </c>
      <c r="P176" s="1" t="s">
        <v>347</v>
      </c>
    </row>
    <row r="177" spans="1:16" x14ac:dyDescent="0.3">
      <c r="A177" t="s">
        <v>9</v>
      </c>
      <c r="B177">
        <v>34</v>
      </c>
      <c r="C177" t="s">
        <v>30</v>
      </c>
      <c r="D177">
        <v>119</v>
      </c>
      <c r="E177" s="2">
        <f t="shared" si="5"/>
        <v>14</v>
      </c>
      <c r="F177" t="s">
        <v>11</v>
      </c>
      <c r="I177">
        <v>64951</v>
      </c>
      <c r="M177">
        <f t="shared" si="6"/>
        <v>1.2990200000000001E-3</v>
      </c>
      <c r="N177">
        <v>8688578</v>
      </c>
      <c r="O177">
        <v>60530688</v>
      </c>
      <c r="P177" s="1" t="s">
        <v>236</v>
      </c>
    </row>
    <row r="178" spans="1:16" x14ac:dyDescent="0.3">
      <c r="A178" t="s">
        <v>9</v>
      </c>
      <c r="B178">
        <v>35</v>
      </c>
      <c r="C178" t="s">
        <v>29</v>
      </c>
      <c r="D178">
        <v>22</v>
      </c>
      <c r="E178" s="2">
        <f t="shared" si="5"/>
        <v>22</v>
      </c>
      <c r="F178" t="s">
        <v>15</v>
      </c>
      <c r="I178">
        <v>44114</v>
      </c>
      <c r="M178">
        <f t="shared" si="6"/>
        <v>8.8228000000000004E-4</v>
      </c>
      <c r="N178">
        <v>8688582</v>
      </c>
      <c r="O178">
        <v>59105280</v>
      </c>
      <c r="P178" s="1" t="s">
        <v>237</v>
      </c>
    </row>
    <row r="179" spans="1:16" x14ac:dyDescent="0.3">
      <c r="A179" t="s">
        <v>9</v>
      </c>
      <c r="B179">
        <v>35</v>
      </c>
      <c r="C179" t="s">
        <v>29</v>
      </c>
      <c r="D179">
        <v>40</v>
      </c>
      <c r="E179" s="2">
        <f t="shared" si="5"/>
        <v>18</v>
      </c>
      <c r="F179" t="s">
        <v>14</v>
      </c>
      <c r="I179">
        <v>184446</v>
      </c>
      <c r="M179">
        <f t="shared" si="6"/>
        <v>3.68892E-3</v>
      </c>
      <c r="N179">
        <v>8688584</v>
      </c>
      <c r="O179">
        <v>59273216</v>
      </c>
      <c r="P179" s="1" t="s">
        <v>238</v>
      </c>
    </row>
    <row r="180" spans="1:16" x14ac:dyDescent="0.3">
      <c r="A180" t="s">
        <v>9</v>
      </c>
      <c r="B180">
        <v>35</v>
      </c>
      <c r="C180" t="s">
        <v>29</v>
      </c>
      <c r="D180">
        <v>56</v>
      </c>
      <c r="E180" s="2">
        <f t="shared" si="5"/>
        <v>16</v>
      </c>
      <c r="F180" t="s">
        <v>13</v>
      </c>
      <c r="I180">
        <v>152319</v>
      </c>
      <c r="M180">
        <f t="shared" si="6"/>
        <v>3.04638E-3</v>
      </c>
      <c r="N180">
        <v>7199331</v>
      </c>
      <c r="O180">
        <v>57675776</v>
      </c>
      <c r="P180" s="1" t="s">
        <v>348</v>
      </c>
    </row>
    <row r="181" spans="1:16" x14ac:dyDescent="0.3">
      <c r="A181" t="s">
        <v>9</v>
      </c>
      <c r="B181">
        <v>35</v>
      </c>
      <c r="C181" t="s">
        <v>29</v>
      </c>
      <c r="D181">
        <v>71</v>
      </c>
      <c r="E181" s="2">
        <f t="shared" si="5"/>
        <v>15</v>
      </c>
      <c r="F181" t="s">
        <v>12</v>
      </c>
      <c r="I181">
        <v>87951</v>
      </c>
      <c r="M181">
        <f t="shared" si="6"/>
        <v>1.75902E-3</v>
      </c>
      <c r="N181">
        <v>7199332</v>
      </c>
      <c r="O181">
        <v>58200064</v>
      </c>
      <c r="P181" s="1" t="s">
        <v>349</v>
      </c>
    </row>
    <row r="182" spans="1:16" x14ac:dyDescent="0.3">
      <c r="A182" t="s">
        <v>9</v>
      </c>
      <c r="B182">
        <v>35</v>
      </c>
      <c r="C182" t="s">
        <v>29</v>
      </c>
      <c r="D182">
        <v>127</v>
      </c>
      <c r="E182" s="2">
        <f t="shared" si="5"/>
        <v>56</v>
      </c>
      <c r="F182" t="s">
        <v>11</v>
      </c>
      <c r="I182">
        <v>64951</v>
      </c>
      <c r="M182">
        <f t="shared" si="6"/>
        <v>1.2990200000000001E-3</v>
      </c>
      <c r="N182">
        <v>8688591</v>
      </c>
      <c r="O182">
        <v>57753600</v>
      </c>
      <c r="P182" s="1" t="s">
        <v>239</v>
      </c>
    </row>
    <row r="183" spans="1:16" x14ac:dyDescent="0.3">
      <c r="A183" t="s">
        <v>9</v>
      </c>
      <c r="B183">
        <v>36</v>
      </c>
      <c r="C183" t="s">
        <v>28</v>
      </c>
      <c r="D183">
        <v>42</v>
      </c>
      <c r="E183" s="2">
        <f t="shared" si="5"/>
        <v>42</v>
      </c>
      <c r="F183" t="s">
        <v>15</v>
      </c>
      <c r="I183">
        <v>44114</v>
      </c>
      <c r="M183">
        <f t="shared" si="6"/>
        <v>8.8228000000000004E-4</v>
      </c>
      <c r="N183">
        <v>8688599</v>
      </c>
      <c r="O183">
        <v>57503744</v>
      </c>
      <c r="P183" s="1" t="s">
        <v>240</v>
      </c>
    </row>
    <row r="184" spans="1:16" x14ac:dyDescent="0.3">
      <c r="A184" t="s">
        <v>9</v>
      </c>
      <c r="B184">
        <v>36</v>
      </c>
      <c r="C184" t="s">
        <v>28</v>
      </c>
      <c r="D184">
        <v>60</v>
      </c>
      <c r="E184" s="2">
        <f t="shared" si="5"/>
        <v>18</v>
      </c>
      <c r="F184" t="s">
        <v>14</v>
      </c>
      <c r="I184">
        <v>184446</v>
      </c>
      <c r="M184">
        <f t="shared" si="6"/>
        <v>3.68892E-3</v>
      </c>
      <c r="N184">
        <v>8688601</v>
      </c>
      <c r="O184">
        <v>57565184</v>
      </c>
      <c r="P184" s="1" t="s">
        <v>241</v>
      </c>
    </row>
    <row r="185" spans="1:16" x14ac:dyDescent="0.3">
      <c r="A185" t="s">
        <v>9</v>
      </c>
      <c r="B185">
        <v>36</v>
      </c>
      <c r="C185" t="s">
        <v>28</v>
      </c>
      <c r="D185">
        <v>87</v>
      </c>
      <c r="E185" s="2">
        <f t="shared" si="5"/>
        <v>27</v>
      </c>
      <c r="F185" t="s">
        <v>13</v>
      </c>
      <c r="I185">
        <v>152319</v>
      </c>
      <c r="M185">
        <f t="shared" si="6"/>
        <v>3.04638E-3</v>
      </c>
      <c r="N185">
        <v>7199343</v>
      </c>
      <c r="O185">
        <v>57765888</v>
      </c>
      <c r="P185" s="1" t="s">
        <v>350</v>
      </c>
    </row>
    <row r="186" spans="1:16" x14ac:dyDescent="0.3">
      <c r="A186" t="s">
        <v>9</v>
      </c>
      <c r="B186">
        <v>36</v>
      </c>
      <c r="C186" t="s">
        <v>28</v>
      </c>
      <c r="D186">
        <v>101</v>
      </c>
      <c r="E186" s="2">
        <f t="shared" si="5"/>
        <v>14</v>
      </c>
      <c r="F186" t="s">
        <v>12</v>
      </c>
      <c r="I186">
        <v>87951</v>
      </c>
      <c r="M186">
        <f t="shared" si="6"/>
        <v>1.75902E-3</v>
      </c>
      <c r="N186">
        <v>7199344</v>
      </c>
      <c r="O186">
        <v>56950784</v>
      </c>
      <c r="P186" s="1" t="s">
        <v>351</v>
      </c>
    </row>
    <row r="187" spans="1:16" x14ac:dyDescent="0.3">
      <c r="A187" t="s">
        <v>9</v>
      </c>
      <c r="B187">
        <v>36</v>
      </c>
      <c r="C187" t="s">
        <v>28</v>
      </c>
      <c r="D187">
        <v>125</v>
      </c>
      <c r="E187" s="2">
        <f t="shared" si="5"/>
        <v>24</v>
      </c>
      <c r="F187" t="s">
        <v>11</v>
      </c>
      <c r="I187">
        <v>64951</v>
      </c>
      <c r="M187">
        <f t="shared" si="6"/>
        <v>1.2990200000000001E-3</v>
      </c>
      <c r="N187">
        <v>8688605</v>
      </c>
      <c r="O187">
        <v>57118720</v>
      </c>
      <c r="P187" s="1" t="s">
        <v>242</v>
      </c>
    </row>
    <row r="188" spans="1:16" x14ac:dyDescent="0.3">
      <c r="A188" t="s">
        <v>9</v>
      </c>
      <c r="B188">
        <v>37</v>
      </c>
      <c r="C188" t="s">
        <v>27</v>
      </c>
      <c r="D188">
        <v>50</v>
      </c>
      <c r="E188" s="2">
        <f t="shared" si="5"/>
        <v>50</v>
      </c>
      <c r="F188" t="s">
        <v>15</v>
      </c>
      <c r="I188">
        <v>44114</v>
      </c>
      <c r="M188">
        <f t="shared" si="6"/>
        <v>8.8228000000000004E-4</v>
      </c>
      <c r="N188">
        <v>8688614</v>
      </c>
      <c r="O188">
        <v>57921536</v>
      </c>
      <c r="P188" s="1" t="s">
        <v>243</v>
      </c>
    </row>
    <row r="189" spans="1:16" x14ac:dyDescent="0.3">
      <c r="A189" t="s">
        <v>9</v>
      </c>
      <c r="B189">
        <v>37</v>
      </c>
      <c r="C189" t="s">
        <v>27</v>
      </c>
      <c r="D189">
        <v>90</v>
      </c>
      <c r="E189" s="2">
        <f t="shared" si="5"/>
        <v>40</v>
      </c>
      <c r="F189" t="s">
        <v>14</v>
      </c>
      <c r="I189">
        <v>184446</v>
      </c>
      <c r="M189">
        <f t="shared" si="6"/>
        <v>3.68892E-3</v>
      </c>
      <c r="N189">
        <v>8688617</v>
      </c>
      <c r="O189">
        <v>56000512</v>
      </c>
      <c r="P189" s="1" t="s">
        <v>244</v>
      </c>
    </row>
    <row r="190" spans="1:16" x14ac:dyDescent="0.3">
      <c r="A190" t="s">
        <v>9</v>
      </c>
      <c r="B190">
        <v>37</v>
      </c>
      <c r="C190" t="s">
        <v>27</v>
      </c>
      <c r="D190">
        <v>102</v>
      </c>
      <c r="E190" s="2">
        <f t="shared" si="5"/>
        <v>12</v>
      </c>
      <c r="F190" t="s">
        <v>13</v>
      </c>
      <c r="I190">
        <v>152319</v>
      </c>
      <c r="M190">
        <f t="shared" si="6"/>
        <v>3.04638E-3</v>
      </c>
      <c r="N190">
        <v>7199354</v>
      </c>
      <c r="O190">
        <v>55631872</v>
      </c>
      <c r="P190" s="1" t="s">
        <v>352</v>
      </c>
    </row>
    <row r="191" spans="1:16" x14ac:dyDescent="0.3">
      <c r="A191" t="s">
        <v>9</v>
      </c>
      <c r="B191">
        <v>37</v>
      </c>
      <c r="C191" t="s">
        <v>27</v>
      </c>
      <c r="D191">
        <v>117</v>
      </c>
      <c r="E191" s="2">
        <f t="shared" si="5"/>
        <v>15</v>
      </c>
      <c r="F191" t="s">
        <v>12</v>
      </c>
      <c r="I191">
        <v>87951</v>
      </c>
      <c r="M191">
        <f t="shared" si="6"/>
        <v>1.75902E-3</v>
      </c>
      <c r="N191">
        <v>7199355</v>
      </c>
      <c r="O191">
        <v>55914496</v>
      </c>
      <c r="P191" s="1" t="s">
        <v>353</v>
      </c>
    </row>
    <row r="192" spans="1:16" x14ac:dyDescent="0.3">
      <c r="A192" t="s">
        <v>9</v>
      </c>
      <c r="B192">
        <v>37</v>
      </c>
      <c r="C192" t="s">
        <v>27</v>
      </c>
      <c r="D192">
        <v>199</v>
      </c>
      <c r="E192" s="2">
        <f t="shared" si="5"/>
        <v>82</v>
      </c>
      <c r="F192" t="s">
        <v>11</v>
      </c>
      <c r="I192">
        <v>64951</v>
      </c>
      <c r="M192">
        <f t="shared" si="6"/>
        <v>1.2990200000000001E-3</v>
      </c>
      <c r="N192">
        <v>8688625</v>
      </c>
      <c r="O192">
        <v>56717312</v>
      </c>
      <c r="P192" s="1" t="s">
        <v>245</v>
      </c>
    </row>
    <row r="193" spans="1:16" x14ac:dyDescent="0.3">
      <c r="A193" t="s">
        <v>9</v>
      </c>
      <c r="B193">
        <v>38</v>
      </c>
      <c r="C193" t="s">
        <v>26</v>
      </c>
      <c r="D193">
        <v>12</v>
      </c>
      <c r="E193" s="2">
        <f t="shared" si="5"/>
        <v>12</v>
      </c>
      <c r="F193" t="s">
        <v>15</v>
      </c>
      <c r="I193">
        <v>44114</v>
      </c>
      <c r="M193">
        <f t="shared" si="6"/>
        <v>8.8228000000000004E-4</v>
      </c>
      <c r="N193">
        <v>8688629</v>
      </c>
      <c r="O193">
        <v>55828480</v>
      </c>
      <c r="P193" s="1" t="s">
        <v>246</v>
      </c>
    </row>
    <row r="194" spans="1:16" x14ac:dyDescent="0.3">
      <c r="A194" t="s">
        <v>9</v>
      </c>
      <c r="B194">
        <v>38</v>
      </c>
      <c r="C194" t="s">
        <v>26</v>
      </c>
      <c r="D194">
        <v>65</v>
      </c>
      <c r="E194" s="2">
        <f t="shared" si="5"/>
        <v>53</v>
      </c>
      <c r="F194" t="s">
        <v>14</v>
      </c>
      <c r="I194">
        <v>184446</v>
      </c>
      <c r="M194">
        <f t="shared" si="6"/>
        <v>3.68892E-3</v>
      </c>
      <c r="N194">
        <v>8688633</v>
      </c>
      <c r="O194">
        <v>55570432</v>
      </c>
      <c r="P194" s="1" t="s">
        <v>247</v>
      </c>
    </row>
    <row r="195" spans="1:16" x14ac:dyDescent="0.3">
      <c r="A195" t="s">
        <v>9</v>
      </c>
      <c r="B195">
        <v>38</v>
      </c>
      <c r="C195" t="s">
        <v>26</v>
      </c>
      <c r="D195">
        <v>77</v>
      </c>
      <c r="E195" s="2">
        <f t="shared" si="5"/>
        <v>12</v>
      </c>
      <c r="F195" t="s">
        <v>13</v>
      </c>
      <c r="I195">
        <v>152319</v>
      </c>
      <c r="M195">
        <f t="shared" si="6"/>
        <v>3.04638E-3</v>
      </c>
      <c r="N195">
        <v>7199367</v>
      </c>
      <c r="O195">
        <v>56389632</v>
      </c>
      <c r="P195" s="1" t="s">
        <v>354</v>
      </c>
    </row>
    <row r="196" spans="1:16" x14ac:dyDescent="0.3">
      <c r="A196" t="s">
        <v>9</v>
      </c>
      <c r="B196">
        <v>38</v>
      </c>
      <c r="C196" t="s">
        <v>26</v>
      </c>
      <c r="D196">
        <v>91</v>
      </c>
      <c r="E196" s="2">
        <f t="shared" ref="E196:E252" si="7">IF(B196&lt;&gt;B195,D196,D196-D195)</f>
        <v>14</v>
      </c>
      <c r="F196" t="s">
        <v>12</v>
      </c>
      <c r="I196">
        <v>87951</v>
      </c>
      <c r="M196">
        <f t="shared" ref="M196:M252" si="8">0.00000002*I196</f>
        <v>1.75902E-3</v>
      </c>
      <c r="N196">
        <v>7199368</v>
      </c>
      <c r="O196">
        <v>56008704</v>
      </c>
      <c r="P196" s="1" t="s">
        <v>355</v>
      </c>
    </row>
    <row r="197" spans="1:16" x14ac:dyDescent="0.3">
      <c r="A197" t="s">
        <v>9</v>
      </c>
      <c r="B197">
        <v>38</v>
      </c>
      <c r="C197" t="s">
        <v>26</v>
      </c>
      <c r="D197">
        <v>113</v>
      </c>
      <c r="E197" s="2">
        <f t="shared" si="7"/>
        <v>22</v>
      </c>
      <c r="F197" t="s">
        <v>11</v>
      </c>
      <c r="I197">
        <v>64951</v>
      </c>
      <c r="M197">
        <f t="shared" si="8"/>
        <v>1.2990200000000001E-3</v>
      </c>
      <c r="N197">
        <v>8688638</v>
      </c>
      <c r="O197">
        <v>56606720</v>
      </c>
      <c r="P197" s="1" t="s">
        <v>248</v>
      </c>
    </row>
    <row r="198" spans="1:16" x14ac:dyDescent="0.3">
      <c r="A198" t="s">
        <v>9</v>
      </c>
      <c r="B198">
        <v>39</v>
      </c>
      <c r="C198" t="s">
        <v>25</v>
      </c>
      <c r="D198">
        <v>12</v>
      </c>
      <c r="E198" s="2">
        <f t="shared" si="7"/>
        <v>12</v>
      </c>
      <c r="F198" t="s">
        <v>15</v>
      </c>
      <c r="I198">
        <v>44114</v>
      </c>
      <c r="M198">
        <f t="shared" si="8"/>
        <v>8.8228000000000004E-4</v>
      </c>
      <c r="N198">
        <v>8688644</v>
      </c>
      <c r="O198">
        <v>54837248</v>
      </c>
      <c r="P198" s="1" t="s">
        <v>250</v>
      </c>
    </row>
    <row r="199" spans="1:16" x14ac:dyDescent="0.3">
      <c r="A199" t="s">
        <v>9</v>
      </c>
      <c r="B199">
        <v>39</v>
      </c>
      <c r="C199" t="s">
        <v>25</v>
      </c>
      <c r="D199">
        <v>38</v>
      </c>
      <c r="E199" s="2">
        <f t="shared" si="7"/>
        <v>26</v>
      </c>
      <c r="F199" t="s">
        <v>14</v>
      </c>
      <c r="I199">
        <v>184446</v>
      </c>
      <c r="M199">
        <f t="shared" si="8"/>
        <v>3.68892E-3</v>
      </c>
      <c r="N199">
        <v>8688646</v>
      </c>
      <c r="O199">
        <v>55386112</v>
      </c>
      <c r="P199" s="1" t="s">
        <v>249</v>
      </c>
    </row>
    <row r="200" spans="1:16" x14ac:dyDescent="0.3">
      <c r="A200" t="s">
        <v>9</v>
      </c>
      <c r="B200">
        <v>39</v>
      </c>
      <c r="C200" t="s">
        <v>25</v>
      </c>
      <c r="D200">
        <v>60</v>
      </c>
      <c r="E200" s="2">
        <f t="shared" si="7"/>
        <v>22</v>
      </c>
      <c r="F200" t="s">
        <v>13</v>
      </c>
      <c r="I200">
        <v>152319</v>
      </c>
      <c r="M200">
        <f t="shared" si="8"/>
        <v>3.04638E-3</v>
      </c>
      <c r="N200">
        <v>7199375</v>
      </c>
      <c r="O200">
        <v>54677504</v>
      </c>
      <c r="P200" s="1" t="s">
        <v>356</v>
      </c>
    </row>
    <row r="201" spans="1:16" x14ac:dyDescent="0.3">
      <c r="A201" t="s">
        <v>9</v>
      </c>
      <c r="B201">
        <v>39</v>
      </c>
      <c r="C201" t="s">
        <v>25</v>
      </c>
      <c r="D201">
        <v>79</v>
      </c>
      <c r="E201" s="2">
        <f t="shared" si="7"/>
        <v>19</v>
      </c>
      <c r="F201" t="s">
        <v>12</v>
      </c>
      <c r="I201">
        <v>87951</v>
      </c>
      <c r="M201">
        <f t="shared" si="8"/>
        <v>1.75902E-3</v>
      </c>
      <c r="N201">
        <v>7199376</v>
      </c>
      <c r="O201">
        <v>54513664</v>
      </c>
      <c r="P201" s="1" t="s">
        <v>357</v>
      </c>
    </row>
    <row r="202" spans="1:16" x14ac:dyDescent="0.3">
      <c r="A202" t="s">
        <v>9</v>
      </c>
      <c r="B202">
        <v>39</v>
      </c>
      <c r="C202" t="s">
        <v>25</v>
      </c>
      <c r="D202">
        <v>115</v>
      </c>
      <c r="E202" s="2">
        <f t="shared" si="7"/>
        <v>36</v>
      </c>
      <c r="F202" t="s">
        <v>11</v>
      </c>
      <c r="I202">
        <v>64951</v>
      </c>
      <c r="M202">
        <f t="shared" si="8"/>
        <v>1.2990200000000001E-3</v>
      </c>
      <c r="N202">
        <v>8688656</v>
      </c>
      <c r="O202">
        <v>55418880</v>
      </c>
      <c r="P202" s="1" t="s">
        <v>251</v>
      </c>
    </row>
    <row r="203" spans="1:16" x14ac:dyDescent="0.3">
      <c r="A203" t="s">
        <v>9</v>
      </c>
      <c r="B203">
        <v>40</v>
      </c>
      <c r="C203" t="s">
        <v>24</v>
      </c>
      <c r="D203">
        <v>44</v>
      </c>
      <c r="E203" s="2">
        <f t="shared" si="7"/>
        <v>44</v>
      </c>
      <c r="F203" t="s">
        <v>15</v>
      </c>
      <c r="I203">
        <v>44114</v>
      </c>
      <c r="M203">
        <f t="shared" si="8"/>
        <v>8.8228000000000004E-4</v>
      </c>
      <c r="N203">
        <v>8688658</v>
      </c>
      <c r="O203">
        <v>55291904</v>
      </c>
      <c r="P203" s="1" t="s">
        <v>252</v>
      </c>
    </row>
    <row r="204" spans="1:16" x14ac:dyDescent="0.3">
      <c r="A204" t="s">
        <v>9</v>
      </c>
      <c r="B204">
        <v>40</v>
      </c>
      <c r="C204" t="s">
        <v>24</v>
      </c>
      <c r="D204">
        <v>86</v>
      </c>
      <c r="E204" s="2">
        <f t="shared" si="7"/>
        <v>42</v>
      </c>
      <c r="F204" t="s">
        <v>14</v>
      </c>
      <c r="I204">
        <v>184446</v>
      </c>
      <c r="M204">
        <f t="shared" si="8"/>
        <v>3.68892E-3</v>
      </c>
      <c r="N204">
        <v>8688660</v>
      </c>
      <c r="O204">
        <v>54874112</v>
      </c>
      <c r="P204" s="1" t="s">
        <v>253</v>
      </c>
    </row>
    <row r="205" spans="1:16" x14ac:dyDescent="0.3">
      <c r="A205" t="s">
        <v>9</v>
      </c>
      <c r="B205">
        <v>40</v>
      </c>
      <c r="C205" t="s">
        <v>24</v>
      </c>
      <c r="D205">
        <v>106</v>
      </c>
      <c r="E205" s="2">
        <f t="shared" si="7"/>
        <v>20</v>
      </c>
      <c r="F205" t="s">
        <v>13</v>
      </c>
      <c r="I205">
        <v>152319</v>
      </c>
      <c r="M205">
        <f t="shared" si="8"/>
        <v>3.04638E-3</v>
      </c>
      <c r="N205">
        <v>7199387</v>
      </c>
      <c r="O205">
        <v>54890496</v>
      </c>
      <c r="P205" s="1" t="s">
        <v>358</v>
      </c>
    </row>
    <row r="206" spans="1:16" x14ac:dyDescent="0.3">
      <c r="A206" t="s">
        <v>9</v>
      </c>
      <c r="B206">
        <v>40</v>
      </c>
      <c r="C206" t="s">
        <v>24</v>
      </c>
      <c r="D206">
        <v>117</v>
      </c>
      <c r="E206" s="2">
        <f t="shared" si="7"/>
        <v>11</v>
      </c>
      <c r="F206" t="s">
        <v>12</v>
      </c>
      <c r="I206">
        <v>87951</v>
      </c>
      <c r="M206">
        <f t="shared" si="8"/>
        <v>1.75902E-3</v>
      </c>
      <c r="N206">
        <v>7199388</v>
      </c>
      <c r="O206">
        <v>55349248</v>
      </c>
      <c r="P206" s="1" t="s">
        <v>359</v>
      </c>
    </row>
    <row r="207" spans="1:16" x14ac:dyDescent="0.3">
      <c r="A207" t="s">
        <v>9</v>
      </c>
      <c r="B207">
        <v>40</v>
      </c>
      <c r="C207" t="s">
        <v>24</v>
      </c>
      <c r="D207">
        <v>149</v>
      </c>
      <c r="E207" s="2">
        <f t="shared" si="7"/>
        <v>32</v>
      </c>
      <c r="F207" t="s">
        <v>11</v>
      </c>
      <c r="I207">
        <v>64951</v>
      </c>
      <c r="M207">
        <f t="shared" si="8"/>
        <v>1.2990200000000001E-3</v>
      </c>
      <c r="N207">
        <v>8688666</v>
      </c>
      <c r="O207">
        <v>55005184</v>
      </c>
      <c r="P207" s="1" t="s">
        <v>254</v>
      </c>
    </row>
    <row r="208" spans="1:16" x14ac:dyDescent="0.3">
      <c r="A208" t="s">
        <v>9</v>
      </c>
      <c r="B208">
        <v>41</v>
      </c>
      <c r="C208" t="s">
        <v>23</v>
      </c>
      <c r="D208">
        <v>14</v>
      </c>
      <c r="E208" s="2">
        <f t="shared" si="7"/>
        <v>14</v>
      </c>
      <c r="F208" t="s">
        <v>15</v>
      </c>
      <c r="I208">
        <v>44114</v>
      </c>
      <c r="M208">
        <f t="shared" si="8"/>
        <v>8.8228000000000004E-4</v>
      </c>
      <c r="N208">
        <v>8688669</v>
      </c>
      <c r="O208">
        <v>55222272</v>
      </c>
      <c r="P208" s="1" t="s">
        <v>255</v>
      </c>
    </row>
    <row r="209" spans="1:16" x14ac:dyDescent="0.3">
      <c r="A209" t="s">
        <v>9</v>
      </c>
      <c r="B209">
        <v>41</v>
      </c>
      <c r="C209" t="s">
        <v>23</v>
      </c>
      <c r="D209">
        <v>92</v>
      </c>
      <c r="E209" s="2">
        <f t="shared" si="7"/>
        <v>78</v>
      </c>
      <c r="F209" t="s">
        <v>14</v>
      </c>
      <c r="I209">
        <v>184446</v>
      </c>
      <c r="M209">
        <f t="shared" si="8"/>
        <v>3.68892E-3</v>
      </c>
      <c r="N209">
        <v>8688675</v>
      </c>
      <c r="O209">
        <v>55042048</v>
      </c>
      <c r="P209" s="1" t="s">
        <v>256</v>
      </c>
    </row>
    <row r="210" spans="1:16" x14ac:dyDescent="0.3">
      <c r="A210" t="s">
        <v>9</v>
      </c>
      <c r="B210">
        <v>41</v>
      </c>
      <c r="C210" t="s">
        <v>23</v>
      </c>
      <c r="D210">
        <v>112</v>
      </c>
      <c r="E210" s="2">
        <f t="shared" si="7"/>
        <v>20</v>
      </c>
      <c r="F210" t="s">
        <v>13</v>
      </c>
      <c r="I210">
        <v>152319</v>
      </c>
      <c r="M210">
        <f t="shared" si="8"/>
        <v>3.04638E-3</v>
      </c>
      <c r="N210">
        <v>7199399</v>
      </c>
      <c r="O210">
        <v>55095296</v>
      </c>
      <c r="P210" s="1" t="s">
        <v>360</v>
      </c>
    </row>
    <row r="211" spans="1:16" x14ac:dyDescent="0.3">
      <c r="A211" t="s">
        <v>9</v>
      </c>
      <c r="B211">
        <v>41</v>
      </c>
      <c r="C211" t="s">
        <v>23</v>
      </c>
      <c r="D211">
        <v>127</v>
      </c>
      <c r="E211" s="2">
        <f t="shared" si="7"/>
        <v>15</v>
      </c>
      <c r="F211" t="s">
        <v>12</v>
      </c>
      <c r="I211">
        <v>87951</v>
      </c>
      <c r="M211">
        <f t="shared" si="8"/>
        <v>1.75902E-3</v>
      </c>
      <c r="N211">
        <v>7199400</v>
      </c>
      <c r="O211">
        <v>55660544</v>
      </c>
      <c r="P211" s="1" t="s">
        <v>361</v>
      </c>
    </row>
    <row r="212" spans="1:16" x14ac:dyDescent="0.3">
      <c r="A212" t="s">
        <v>9</v>
      </c>
      <c r="B212">
        <v>41</v>
      </c>
      <c r="C212" t="s">
        <v>23</v>
      </c>
      <c r="D212">
        <v>147</v>
      </c>
      <c r="E212" s="2">
        <f t="shared" si="7"/>
        <v>20</v>
      </c>
      <c r="F212" t="s">
        <v>11</v>
      </c>
      <c r="I212">
        <v>64951</v>
      </c>
      <c r="M212">
        <f t="shared" si="8"/>
        <v>1.2990200000000001E-3</v>
      </c>
      <c r="N212">
        <v>8688681</v>
      </c>
      <c r="O212">
        <v>55054336</v>
      </c>
      <c r="P212" s="1" t="s">
        <v>257</v>
      </c>
    </row>
    <row r="213" spans="1:16" x14ac:dyDescent="0.3">
      <c r="A213" t="s">
        <v>9</v>
      </c>
      <c r="B213">
        <v>42</v>
      </c>
      <c r="C213" t="s">
        <v>22</v>
      </c>
      <c r="D213">
        <v>8</v>
      </c>
      <c r="E213" s="2">
        <f t="shared" si="7"/>
        <v>8</v>
      </c>
      <c r="F213" t="s">
        <v>15</v>
      </c>
      <c r="I213">
        <v>44114</v>
      </c>
      <c r="M213">
        <f t="shared" si="8"/>
        <v>8.8228000000000004E-4</v>
      </c>
      <c r="N213">
        <v>8688686</v>
      </c>
      <c r="O213">
        <v>55177216</v>
      </c>
      <c r="P213" s="1" t="s">
        <v>258</v>
      </c>
    </row>
    <row r="214" spans="1:16" x14ac:dyDescent="0.3">
      <c r="A214" t="s">
        <v>9</v>
      </c>
      <c r="B214">
        <v>42</v>
      </c>
      <c r="C214" t="s">
        <v>22</v>
      </c>
      <c r="D214">
        <v>48</v>
      </c>
      <c r="E214" s="2">
        <f t="shared" si="7"/>
        <v>40</v>
      </c>
      <c r="F214" t="s">
        <v>14</v>
      </c>
      <c r="I214">
        <v>184446</v>
      </c>
      <c r="M214">
        <f t="shared" si="8"/>
        <v>3.68892E-3</v>
      </c>
      <c r="N214">
        <v>8688689</v>
      </c>
      <c r="O214">
        <v>55926784</v>
      </c>
      <c r="P214" s="1" t="s">
        <v>259</v>
      </c>
    </row>
    <row r="215" spans="1:16" x14ac:dyDescent="0.3">
      <c r="A215" t="s">
        <v>9</v>
      </c>
      <c r="B215">
        <v>42</v>
      </c>
      <c r="C215" t="s">
        <v>22</v>
      </c>
      <c r="D215">
        <v>61</v>
      </c>
      <c r="E215" s="2">
        <f t="shared" si="7"/>
        <v>13</v>
      </c>
      <c r="F215" t="s">
        <v>13</v>
      </c>
      <c r="I215">
        <v>152307</v>
      </c>
      <c r="M215">
        <f t="shared" si="8"/>
        <v>3.0461400000000001E-3</v>
      </c>
      <c r="N215">
        <v>7199407</v>
      </c>
      <c r="O215">
        <v>55873536</v>
      </c>
      <c r="P215" s="1" t="s">
        <v>362</v>
      </c>
    </row>
    <row r="216" spans="1:16" x14ac:dyDescent="0.3">
      <c r="A216" t="s">
        <v>9</v>
      </c>
      <c r="B216">
        <v>42</v>
      </c>
      <c r="C216" t="s">
        <v>22</v>
      </c>
      <c r="D216">
        <v>79</v>
      </c>
      <c r="E216" s="2">
        <f t="shared" si="7"/>
        <v>18</v>
      </c>
      <c r="F216" t="s">
        <v>12</v>
      </c>
      <c r="I216">
        <v>87939</v>
      </c>
      <c r="M216">
        <f t="shared" si="8"/>
        <v>1.7587799999999999E-3</v>
      </c>
      <c r="N216">
        <v>7199408</v>
      </c>
      <c r="O216">
        <v>55435264</v>
      </c>
      <c r="P216" s="1" t="s">
        <v>363</v>
      </c>
    </row>
    <row r="217" spans="1:16" x14ac:dyDescent="0.3">
      <c r="A217" t="s">
        <v>9</v>
      </c>
      <c r="B217">
        <v>42</v>
      </c>
      <c r="C217" t="s">
        <v>22</v>
      </c>
      <c r="D217">
        <v>103</v>
      </c>
      <c r="E217" s="2">
        <f t="shared" si="7"/>
        <v>24</v>
      </c>
      <c r="F217" t="s">
        <v>11</v>
      </c>
      <c r="I217">
        <v>64939</v>
      </c>
      <c r="M217">
        <f t="shared" si="8"/>
        <v>1.29878E-3</v>
      </c>
      <c r="N217">
        <v>8688698</v>
      </c>
      <c r="O217">
        <v>56070144</v>
      </c>
      <c r="P217" s="1" t="s">
        <v>260</v>
      </c>
    </row>
    <row r="218" spans="1:16" x14ac:dyDescent="0.3">
      <c r="A218" t="s">
        <v>9</v>
      </c>
      <c r="B218">
        <v>43</v>
      </c>
      <c r="C218" t="s">
        <v>21</v>
      </c>
      <c r="D218">
        <v>42</v>
      </c>
      <c r="E218" s="2">
        <f t="shared" si="7"/>
        <v>42</v>
      </c>
      <c r="F218" t="s">
        <v>15</v>
      </c>
      <c r="I218">
        <v>44114</v>
      </c>
      <c r="M218">
        <f t="shared" si="8"/>
        <v>8.8228000000000004E-4</v>
      </c>
      <c r="N218">
        <v>8688705</v>
      </c>
      <c r="O218">
        <v>56102912</v>
      </c>
      <c r="P218" s="1" t="s">
        <v>261</v>
      </c>
    </row>
    <row r="219" spans="1:16" x14ac:dyDescent="0.3">
      <c r="A219" t="s">
        <v>9</v>
      </c>
      <c r="B219">
        <v>43</v>
      </c>
      <c r="C219" t="s">
        <v>21</v>
      </c>
      <c r="D219">
        <v>62</v>
      </c>
      <c r="E219" s="2">
        <f t="shared" si="7"/>
        <v>20</v>
      </c>
      <c r="F219" t="s">
        <v>14</v>
      </c>
      <c r="I219">
        <v>184446</v>
      </c>
      <c r="M219">
        <f t="shared" si="8"/>
        <v>3.68892E-3</v>
      </c>
      <c r="N219">
        <v>8688707</v>
      </c>
      <c r="O219">
        <v>56279040</v>
      </c>
      <c r="P219" s="1" t="s">
        <v>262</v>
      </c>
    </row>
    <row r="220" spans="1:16" x14ac:dyDescent="0.3">
      <c r="A220" t="s">
        <v>9</v>
      </c>
      <c r="B220">
        <v>43</v>
      </c>
      <c r="C220" t="s">
        <v>21</v>
      </c>
      <c r="D220">
        <v>88</v>
      </c>
      <c r="E220" s="2">
        <f t="shared" si="7"/>
        <v>26</v>
      </c>
      <c r="F220" t="s">
        <v>13</v>
      </c>
      <c r="I220">
        <v>152319</v>
      </c>
      <c r="M220">
        <f t="shared" si="8"/>
        <v>3.04638E-3</v>
      </c>
      <c r="N220">
        <v>7199417</v>
      </c>
      <c r="O220">
        <v>55881728</v>
      </c>
      <c r="P220" s="1" t="s">
        <v>364</v>
      </c>
    </row>
    <row r="221" spans="1:16" x14ac:dyDescent="0.3">
      <c r="A221" t="s">
        <v>9</v>
      </c>
      <c r="B221">
        <v>43</v>
      </c>
      <c r="C221" t="s">
        <v>21</v>
      </c>
      <c r="D221">
        <v>99</v>
      </c>
      <c r="E221" s="2">
        <f t="shared" si="7"/>
        <v>11</v>
      </c>
      <c r="F221" t="s">
        <v>12</v>
      </c>
      <c r="I221">
        <v>87951</v>
      </c>
      <c r="M221">
        <f t="shared" si="8"/>
        <v>1.75902E-3</v>
      </c>
      <c r="N221">
        <v>7199418</v>
      </c>
      <c r="O221">
        <v>55836672</v>
      </c>
      <c r="P221" s="1" t="s">
        <v>365</v>
      </c>
    </row>
    <row r="222" spans="1:16" x14ac:dyDescent="0.3">
      <c r="A222" t="s">
        <v>9</v>
      </c>
      <c r="B222">
        <v>43</v>
      </c>
      <c r="C222" t="s">
        <v>21</v>
      </c>
      <c r="D222">
        <v>129</v>
      </c>
      <c r="E222" s="2">
        <f t="shared" si="7"/>
        <v>30</v>
      </c>
      <c r="F222" t="s">
        <v>11</v>
      </c>
      <c r="I222">
        <v>64951</v>
      </c>
      <c r="M222">
        <f t="shared" si="8"/>
        <v>1.2990200000000001E-3</v>
      </c>
      <c r="N222">
        <v>8688717</v>
      </c>
      <c r="O222">
        <v>55844864</v>
      </c>
      <c r="P222" s="1" t="s">
        <v>263</v>
      </c>
    </row>
    <row r="223" spans="1:16" x14ac:dyDescent="0.3">
      <c r="A223" t="s">
        <v>9</v>
      </c>
      <c r="B223">
        <v>44</v>
      </c>
      <c r="C223" t="s">
        <v>20</v>
      </c>
      <c r="D223">
        <v>38</v>
      </c>
      <c r="E223" s="2">
        <f t="shared" si="7"/>
        <v>38</v>
      </c>
      <c r="F223" t="s">
        <v>15</v>
      </c>
      <c r="I223">
        <v>44114</v>
      </c>
      <c r="M223">
        <f t="shared" si="8"/>
        <v>8.8228000000000004E-4</v>
      </c>
      <c r="N223">
        <v>8688721</v>
      </c>
      <c r="O223">
        <v>56049664</v>
      </c>
      <c r="P223" s="1" t="s">
        <v>264</v>
      </c>
    </row>
    <row r="224" spans="1:16" x14ac:dyDescent="0.3">
      <c r="A224" t="s">
        <v>9</v>
      </c>
      <c r="B224">
        <v>44</v>
      </c>
      <c r="C224" t="s">
        <v>20</v>
      </c>
      <c r="D224">
        <v>60</v>
      </c>
      <c r="E224" s="2">
        <f t="shared" si="7"/>
        <v>22</v>
      </c>
      <c r="F224" t="s">
        <v>14</v>
      </c>
      <c r="I224">
        <v>184446</v>
      </c>
      <c r="M224">
        <f t="shared" si="8"/>
        <v>3.68892E-3</v>
      </c>
      <c r="N224">
        <v>8688723</v>
      </c>
      <c r="O224">
        <v>54841344</v>
      </c>
      <c r="P224" s="1" t="s">
        <v>265</v>
      </c>
    </row>
    <row r="225" spans="1:16" x14ac:dyDescent="0.3">
      <c r="A225" t="s">
        <v>9</v>
      </c>
      <c r="B225">
        <v>44</v>
      </c>
      <c r="C225" t="s">
        <v>20</v>
      </c>
      <c r="D225">
        <v>82</v>
      </c>
      <c r="E225" s="2">
        <f t="shared" si="7"/>
        <v>22</v>
      </c>
      <c r="F225" t="s">
        <v>13</v>
      </c>
      <c r="I225">
        <v>152319</v>
      </c>
      <c r="M225">
        <f t="shared" si="8"/>
        <v>3.04638E-3</v>
      </c>
      <c r="N225">
        <v>7199427</v>
      </c>
      <c r="O225">
        <v>55054336</v>
      </c>
      <c r="P225" s="1" t="s">
        <v>366</v>
      </c>
    </row>
    <row r="226" spans="1:16" x14ac:dyDescent="0.3">
      <c r="A226" t="s">
        <v>9</v>
      </c>
      <c r="B226">
        <v>44</v>
      </c>
      <c r="C226" t="s">
        <v>20</v>
      </c>
      <c r="D226">
        <v>101</v>
      </c>
      <c r="E226" s="2">
        <f t="shared" si="7"/>
        <v>19</v>
      </c>
      <c r="F226" t="s">
        <v>12</v>
      </c>
      <c r="I226">
        <v>87951</v>
      </c>
      <c r="M226">
        <f t="shared" si="8"/>
        <v>1.75902E-3</v>
      </c>
      <c r="N226">
        <v>7199428</v>
      </c>
      <c r="O226">
        <v>55668736</v>
      </c>
      <c r="P226" s="1" t="s">
        <v>367</v>
      </c>
    </row>
    <row r="227" spans="1:16" x14ac:dyDescent="0.3">
      <c r="A227" t="s">
        <v>9</v>
      </c>
      <c r="B227">
        <v>44</v>
      </c>
      <c r="C227" t="s">
        <v>20</v>
      </c>
      <c r="D227">
        <v>148</v>
      </c>
      <c r="E227" s="2">
        <f t="shared" si="7"/>
        <v>47</v>
      </c>
      <c r="F227" t="s">
        <v>11</v>
      </c>
      <c r="I227">
        <v>64951</v>
      </c>
      <c r="M227">
        <f t="shared" si="8"/>
        <v>1.2990200000000001E-3</v>
      </c>
      <c r="N227">
        <v>8688730</v>
      </c>
      <c r="O227">
        <v>55271424</v>
      </c>
      <c r="P227" s="1" t="s">
        <v>266</v>
      </c>
    </row>
    <row r="228" spans="1:16" x14ac:dyDescent="0.3">
      <c r="A228" t="s">
        <v>9</v>
      </c>
      <c r="B228">
        <v>45</v>
      </c>
      <c r="C228" t="s">
        <v>19</v>
      </c>
      <c r="D228">
        <v>14</v>
      </c>
      <c r="E228" s="2">
        <f t="shared" si="7"/>
        <v>14</v>
      </c>
      <c r="F228" t="s">
        <v>15</v>
      </c>
      <c r="I228">
        <v>44114</v>
      </c>
      <c r="M228">
        <f t="shared" si="8"/>
        <v>8.8228000000000004E-4</v>
      </c>
      <c r="N228">
        <v>8688735</v>
      </c>
      <c r="O228">
        <v>55721984</v>
      </c>
      <c r="P228" s="1" t="s">
        <v>267</v>
      </c>
    </row>
    <row r="229" spans="1:16" x14ac:dyDescent="0.3">
      <c r="A229" t="s">
        <v>9</v>
      </c>
      <c r="B229">
        <v>45</v>
      </c>
      <c r="C229" t="s">
        <v>19</v>
      </c>
      <c r="D229">
        <v>36</v>
      </c>
      <c r="E229" s="2">
        <f t="shared" si="7"/>
        <v>22</v>
      </c>
      <c r="F229" t="s">
        <v>14</v>
      </c>
      <c r="I229">
        <v>184446</v>
      </c>
      <c r="M229">
        <f t="shared" si="8"/>
        <v>3.68892E-3</v>
      </c>
      <c r="N229">
        <v>8688737</v>
      </c>
      <c r="O229">
        <v>55721984</v>
      </c>
      <c r="P229" s="1" t="s">
        <v>268</v>
      </c>
    </row>
    <row r="230" spans="1:16" x14ac:dyDescent="0.3">
      <c r="A230" t="s">
        <v>9</v>
      </c>
      <c r="B230">
        <v>45</v>
      </c>
      <c r="C230" t="s">
        <v>19</v>
      </c>
      <c r="D230">
        <v>48</v>
      </c>
      <c r="E230" s="2">
        <f t="shared" si="7"/>
        <v>12</v>
      </c>
      <c r="F230" t="s">
        <v>13</v>
      </c>
      <c r="I230">
        <v>152319</v>
      </c>
      <c r="M230">
        <f t="shared" si="8"/>
        <v>3.04638E-3</v>
      </c>
      <c r="N230">
        <v>7199436</v>
      </c>
      <c r="O230">
        <v>55771136</v>
      </c>
      <c r="P230" s="1" t="s">
        <v>368</v>
      </c>
    </row>
    <row r="231" spans="1:16" x14ac:dyDescent="0.3">
      <c r="A231" t="s">
        <v>9</v>
      </c>
      <c r="B231">
        <v>45</v>
      </c>
      <c r="C231" t="s">
        <v>19</v>
      </c>
      <c r="D231">
        <v>62</v>
      </c>
      <c r="E231" s="2">
        <f t="shared" si="7"/>
        <v>14</v>
      </c>
      <c r="F231" t="s">
        <v>12</v>
      </c>
      <c r="I231">
        <v>87951</v>
      </c>
      <c r="M231">
        <f t="shared" si="8"/>
        <v>1.75902E-3</v>
      </c>
      <c r="N231">
        <v>7199437</v>
      </c>
      <c r="O231">
        <v>55484416</v>
      </c>
      <c r="P231" s="1" t="s">
        <v>369</v>
      </c>
    </row>
    <row r="232" spans="1:16" x14ac:dyDescent="0.3">
      <c r="A232" t="s">
        <v>9</v>
      </c>
      <c r="B232">
        <v>45</v>
      </c>
      <c r="C232" t="s">
        <v>19</v>
      </c>
      <c r="D232">
        <v>75</v>
      </c>
      <c r="E232" s="2">
        <f t="shared" si="7"/>
        <v>13</v>
      </c>
      <c r="F232" t="s">
        <v>11</v>
      </c>
      <c r="I232">
        <v>64951</v>
      </c>
      <c r="M232">
        <f t="shared" si="8"/>
        <v>1.2990200000000001E-3</v>
      </c>
      <c r="N232">
        <v>8688745</v>
      </c>
      <c r="O232">
        <v>55877632</v>
      </c>
      <c r="P232" s="1" t="s">
        <v>269</v>
      </c>
    </row>
    <row r="233" spans="1:16" x14ac:dyDescent="0.3">
      <c r="A233" t="s">
        <v>9</v>
      </c>
      <c r="B233">
        <v>46</v>
      </c>
      <c r="C233" t="s">
        <v>18</v>
      </c>
      <c r="D233">
        <v>42</v>
      </c>
      <c r="E233" s="2">
        <f t="shared" si="7"/>
        <v>42</v>
      </c>
      <c r="F233" t="s">
        <v>15</v>
      </c>
      <c r="I233">
        <v>44114</v>
      </c>
      <c r="M233">
        <f t="shared" si="8"/>
        <v>8.8228000000000004E-4</v>
      </c>
      <c r="N233">
        <v>8688753</v>
      </c>
      <c r="O233">
        <v>55824384</v>
      </c>
      <c r="P233" s="1" t="s">
        <v>270</v>
      </c>
    </row>
    <row r="234" spans="1:16" x14ac:dyDescent="0.3">
      <c r="A234" t="s">
        <v>9</v>
      </c>
      <c r="B234">
        <v>46</v>
      </c>
      <c r="C234" t="s">
        <v>18</v>
      </c>
      <c r="D234">
        <v>82</v>
      </c>
      <c r="E234" s="2">
        <f t="shared" si="7"/>
        <v>40</v>
      </c>
      <c r="F234" t="s">
        <v>14</v>
      </c>
      <c r="I234">
        <v>184446</v>
      </c>
      <c r="M234">
        <f t="shared" si="8"/>
        <v>3.68892E-3</v>
      </c>
      <c r="N234">
        <v>8688757</v>
      </c>
      <c r="O234">
        <v>56213504</v>
      </c>
      <c r="P234" s="1" t="s">
        <v>271</v>
      </c>
    </row>
    <row r="235" spans="1:16" x14ac:dyDescent="0.3">
      <c r="A235" t="s">
        <v>9</v>
      </c>
      <c r="B235">
        <v>46</v>
      </c>
      <c r="C235" t="s">
        <v>18</v>
      </c>
      <c r="D235">
        <v>102</v>
      </c>
      <c r="E235" s="2">
        <f t="shared" si="7"/>
        <v>20</v>
      </c>
      <c r="F235" t="s">
        <v>13</v>
      </c>
      <c r="I235">
        <v>152319</v>
      </c>
      <c r="M235">
        <f t="shared" si="8"/>
        <v>3.04638E-3</v>
      </c>
      <c r="N235">
        <v>7199446</v>
      </c>
      <c r="O235">
        <v>55459840</v>
      </c>
      <c r="P235" s="1" t="s">
        <v>370</v>
      </c>
    </row>
    <row r="236" spans="1:16" x14ac:dyDescent="0.3">
      <c r="A236" t="s">
        <v>9</v>
      </c>
      <c r="B236">
        <v>46</v>
      </c>
      <c r="C236" t="s">
        <v>18</v>
      </c>
      <c r="D236">
        <v>116</v>
      </c>
      <c r="E236" s="2">
        <f t="shared" si="7"/>
        <v>14</v>
      </c>
      <c r="F236" t="s">
        <v>12</v>
      </c>
      <c r="I236">
        <v>87951</v>
      </c>
      <c r="M236">
        <f t="shared" si="8"/>
        <v>1.75902E-3</v>
      </c>
      <c r="N236">
        <v>7199447</v>
      </c>
      <c r="O236">
        <v>55930880</v>
      </c>
      <c r="P236" s="1" t="s">
        <v>371</v>
      </c>
    </row>
    <row r="237" spans="1:16" x14ac:dyDescent="0.3">
      <c r="A237" t="s">
        <v>9</v>
      </c>
      <c r="B237">
        <v>46</v>
      </c>
      <c r="C237" t="s">
        <v>18</v>
      </c>
      <c r="D237">
        <v>124</v>
      </c>
      <c r="E237" s="2">
        <f t="shared" si="7"/>
        <v>8</v>
      </c>
      <c r="F237" t="s">
        <v>11</v>
      </c>
      <c r="I237">
        <v>64951</v>
      </c>
      <c r="M237">
        <f t="shared" si="8"/>
        <v>1.2990200000000001E-3</v>
      </c>
      <c r="N237">
        <v>8688762</v>
      </c>
      <c r="O237">
        <v>56266752</v>
      </c>
      <c r="P237" s="1" t="s">
        <v>272</v>
      </c>
    </row>
    <row r="238" spans="1:16" x14ac:dyDescent="0.3">
      <c r="A238" t="s">
        <v>9</v>
      </c>
      <c r="B238">
        <v>47</v>
      </c>
      <c r="C238" t="s">
        <v>17</v>
      </c>
      <c r="D238">
        <v>45</v>
      </c>
      <c r="E238" s="2">
        <f t="shared" si="7"/>
        <v>45</v>
      </c>
      <c r="F238" t="s">
        <v>15</v>
      </c>
      <c r="I238">
        <v>44114</v>
      </c>
      <c r="M238">
        <f t="shared" si="8"/>
        <v>8.8228000000000004E-4</v>
      </c>
      <c r="N238">
        <v>8688769</v>
      </c>
      <c r="O238">
        <v>56201216</v>
      </c>
      <c r="P238" s="1" t="s">
        <v>273</v>
      </c>
    </row>
    <row r="239" spans="1:16" x14ac:dyDescent="0.3">
      <c r="A239" t="s">
        <v>9</v>
      </c>
      <c r="B239">
        <v>47</v>
      </c>
      <c r="C239" t="s">
        <v>17</v>
      </c>
      <c r="D239">
        <v>76</v>
      </c>
      <c r="E239" s="2">
        <f t="shared" si="7"/>
        <v>31</v>
      </c>
      <c r="F239" t="s">
        <v>14</v>
      </c>
      <c r="I239">
        <v>184446</v>
      </c>
      <c r="M239">
        <f t="shared" si="8"/>
        <v>3.68892E-3</v>
      </c>
      <c r="N239">
        <v>8688771</v>
      </c>
      <c r="O239">
        <v>56184832</v>
      </c>
      <c r="P239" s="1" t="s">
        <v>274</v>
      </c>
    </row>
    <row r="240" spans="1:16" x14ac:dyDescent="0.3">
      <c r="A240" t="s">
        <v>9</v>
      </c>
      <c r="B240">
        <v>47</v>
      </c>
      <c r="C240" t="s">
        <v>17</v>
      </c>
      <c r="D240">
        <v>92</v>
      </c>
      <c r="E240" s="2">
        <f t="shared" si="7"/>
        <v>16</v>
      </c>
      <c r="F240" t="s">
        <v>13</v>
      </c>
      <c r="I240">
        <v>152319</v>
      </c>
      <c r="M240">
        <f t="shared" si="8"/>
        <v>3.04638E-3</v>
      </c>
      <c r="N240">
        <v>7199455</v>
      </c>
      <c r="O240">
        <v>56332288</v>
      </c>
      <c r="P240" s="1" t="s">
        <v>372</v>
      </c>
    </row>
    <row r="241" spans="1:16" x14ac:dyDescent="0.3">
      <c r="A241" t="s">
        <v>9</v>
      </c>
      <c r="B241">
        <v>47</v>
      </c>
      <c r="C241" t="s">
        <v>17</v>
      </c>
      <c r="D241">
        <v>106</v>
      </c>
      <c r="E241" s="2">
        <f t="shared" si="7"/>
        <v>14</v>
      </c>
      <c r="F241" t="s">
        <v>12</v>
      </c>
      <c r="I241">
        <v>87951</v>
      </c>
      <c r="M241">
        <f t="shared" si="8"/>
        <v>1.75902E-3</v>
      </c>
      <c r="N241">
        <v>7199456</v>
      </c>
      <c r="O241">
        <v>55750656</v>
      </c>
      <c r="P241" s="1" t="s">
        <v>373</v>
      </c>
    </row>
    <row r="242" spans="1:16" x14ac:dyDescent="0.3">
      <c r="A242" t="s">
        <v>9</v>
      </c>
      <c r="B242">
        <v>47</v>
      </c>
      <c r="C242" t="s">
        <v>17</v>
      </c>
      <c r="D242">
        <v>118</v>
      </c>
      <c r="E242" s="2">
        <f t="shared" si="7"/>
        <v>12</v>
      </c>
      <c r="F242" t="s">
        <v>11</v>
      </c>
      <c r="I242">
        <v>64951</v>
      </c>
      <c r="M242">
        <f t="shared" si="8"/>
        <v>1.2990200000000001E-3</v>
      </c>
      <c r="N242">
        <v>8688778</v>
      </c>
      <c r="O242">
        <v>56311808</v>
      </c>
      <c r="P242" s="1" t="s">
        <v>275</v>
      </c>
    </row>
    <row r="243" spans="1:16" x14ac:dyDescent="0.3">
      <c r="A243" t="s">
        <v>9</v>
      </c>
      <c r="B243">
        <v>48</v>
      </c>
      <c r="C243" t="s">
        <v>16</v>
      </c>
      <c r="D243">
        <v>11</v>
      </c>
      <c r="E243" s="2">
        <f t="shared" si="7"/>
        <v>11</v>
      </c>
      <c r="F243" t="s">
        <v>15</v>
      </c>
      <c r="I243">
        <v>44114</v>
      </c>
      <c r="M243">
        <f t="shared" si="8"/>
        <v>8.8228000000000004E-4</v>
      </c>
      <c r="N243">
        <v>8688779</v>
      </c>
      <c r="O243">
        <v>56270848</v>
      </c>
      <c r="P243" s="1" t="s">
        <v>276</v>
      </c>
    </row>
    <row r="244" spans="1:16" x14ac:dyDescent="0.3">
      <c r="A244" t="s">
        <v>9</v>
      </c>
      <c r="B244">
        <v>48</v>
      </c>
      <c r="C244" t="s">
        <v>16</v>
      </c>
      <c r="D244">
        <v>28</v>
      </c>
      <c r="E244" s="2">
        <f t="shared" si="7"/>
        <v>17</v>
      </c>
      <c r="F244" t="s">
        <v>14</v>
      </c>
      <c r="I244">
        <v>184446</v>
      </c>
      <c r="M244">
        <f t="shared" si="8"/>
        <v>3.68892E-3</v>
      </c>
      <c r="N244">
        <v>8688781</v>
      </c>
      <c r="O244">
        <v>56434688</v>
      </c>
      <c r="P244" s="1" t="s">
        <v>277</v>
      </c>
    </row>
    <row r="245" spans="1:16" x14ac:dyDescent="0.3">
      <c r="A245" t="s">
        <v>9</v>
      </c>
      <c r="B245">
        <v>48</v>
      </c>
      <c r="C245" t="s">
        <v>16</v>
      </c>
      <c r="D245">
        <v>54</v>
      </c>
      <c r="E245" s="2">
        <f t="shared" si="7"/>
        <v>26</v>
      </c>
      <c r="F245" t="s">
        <v>13</v>
      </c>
      <c r="I245">
        <v>152319</v>
      </c>
      <c r="M245">
        <f t="shared" si="8"/>
        <v>3.04638E-3</v>
      </c>
      <c r="N245">
        <v>7199462</v>
      </c>
      <c r="O245">
        <v>56565760</v>
      </c>
      <c r="P245" s="1" t="s">
        <v>374</v>
      </c>
    </row>
    <row r="246" spans="1:16" x14ac:dyDescent="0.3">
      <c r="A246" t="s">
        <v>9</v>
      </c>
      <c r="B246">
        <v>48</v>
      </c>
      <c r="C246" t="s">
        <v>16</v>
      </c>
      <c r="D246">
        <v>73</v>
      </c>
      <c r="E246" s="2">
        <f t="shared" si="7"/>
        <v>19</v>
      </c>
      <c r="F246" t="s">
        <v>12</v>
      </c>
      <c r="I246">
        <v>87951</v>
      </c>
      <c r="M246">
        <f t="shared" si="8"/>
        <v>1.75902E-3</v>
      </c>
      <c r="N246">
        <v>7199463</v>
      </c>
      <c r="O246">
        <v>55840768</v>
      </c>
      <c r="P246" s="1" t="s">
        <v>375</v>
      </c>
    </row>
    <row r="247" spans="1:16" x14ac:dyDescent="0.3">
      <c r="A247" t="s">
        <v>9</v>
      </c>
      <c r="B247">
        <v>48</v>
      </c>
      <c r="C247" t="s">
        <v>16</v>
      </c>
      <c r="D247">
        <v>128</v>
      </c>
      <c r="E247" s="2">
        <f t="shared" si="7"/>
        <v>55</v>
      </c>
      <c r="F247" t="s">
        <v>11</v>
      </c>
      <c r="I247">
        <v>64951</v>
      </c>
      <c r="M247">
        <f t="shared" si="8"/>
        <v>1.2990200000000001E-3</v>
      </c>
      <c r="N247">
        <v>8688789</v>
      </c>
      <c r="O247">
        <v>55496704</v>
      </c>
      <c r="P247" s="1" t="s">
        <v>278</v>
      </c>
    </row>
    <row r="248" spans="1:16" x14ac:dyDescent="0.3">
      <c r="A248" t="s">
        <v>9</v>
      </c>
      <c r="B248">
        <v>49</v>
      </c>
      <c r="C248" t="s">
        <v>10</v>
      </c>
      <c r="D248">
        <v>22</v>
      </c>
      <c r="E248" s="2">
        <f t="shared" si="7"/>
        <v>22</v>
      </c>
      <c r="F248" t="s">
        <v>15</v>
      </c>
      <c r="I248">
        <v>44114</v>
      </c>
      <c r="M248">
        <f t="shared" si="8"/>
        <v>8.8228000000000004E-4</v>
      </c>
      <c r="N248">
        <v>8688792</v>
      </c>
      <c r="O248">
        <v>55001088</v>
      </c>
      <c r="P248" s="1" t="s">
        <v>279</v>
      </c>
    </row>
    <row r="249" spans="1:16" x14ac:dyDescent="0.3">
      <c r="A249" t="s">
        <v>9</v>
      </c>
      <c r="B249">
        <v>49</v>
      </c>
      <c r="C249" t="s">
        <v>10</v>
      </c>
      <c r="D249">
        <v>42</v>
      </c>
      <c r="E249" s="2">
        <f t="shared" si="7"/>
        <v>20</v>
      </c>
      <c r="F249" t="s">
        <v>14</v>
      </c>
      <c r="I249">
        <v>184446</v>
      </c>
      <c r="M249">
        <f t="shared" si="8"/>
        <v>3.68892E-3</v>
      </c>
      <c r="N249">
        <v>8688794</v>
      </c>
      <c r="O249">
        <v>55930880</v>
      </c>
      <c r="P249" s="1" t="s">
        <v>280</v>
      </c>
    </row>
    <row r="250" spans="1:16" x14ac:dyDescent="0.3">
      <c r="A250" t="s">
        <v>9</v>
      </c>
      <c r="B250">
        <v>49</v>
      </c>
      <c r="C250" t="s">
        <v>10</v>
      </c>
      <c r="D250">
        <v>75</v>
      </c>
      <c r="E250" s="2">
        <f t="shared" si="7"/>
        <v>33</v>
      </c>
      <c r="F250" t="s">
        <v>13</v>
      </c>
      <c r="I250">
        <v>152319</v>
      </c>
      <c r="M250">
        <f t="shared" si="8"/>
        <v>3.04638E-3</v>
      </c>
      <c r="N250">
        <v>7199472</v>
      </c>
      <c r="O250">
        <v>55394304</v>
      </c>
      <c r="P250" s="1" t="s">
        <v>376</v>
      </c>
    </row>
    <row r="251" spans="1:16" x14ac:dyDescent="0.3">
      <c r="A251" t="s">
        <v>9</v>
      </c>
      <c r="B251">
        <v>49</v>
      </c>
      <c r="C251" t="s">
        <v>10</v>
      </c>
      <c r="D251">
        <v>90</v>
      </c>
      <c r="E251" s="2">
        <f t="shared" si="7"/>
        <v>15</v>
      </c>
      <c r="F251" t="s">
        <v>12</v>
      </c>
      <c r="I251">
        <v>87951</v>
      </c>
      <c r="M251">
        <f t="shared" si="8"/>
        <v>1.75902E-3</v>
      </c>
      <c r="N251">
        <v>7199473</v>
      </c>
      <c r="O251">
        <v>55078912</v>
      </c>
      <c r="P251" s="1" t="s">
        <v>377</v>
      </c>
    </row>
    <row r="252" spans="1:16" x14ac:dyDescent="0.3">
      <c r="A252" t="s">
        <v>9</v>
      </c>
      <c r="B252">
        <v>49</v>
      </c>
      <c r="C252" t="s">
        <v>10</v>
      </c>
      <c r="D252">
        <v>130</v>
      </c>
      <c r="E252" s="2">
        <f t="shared" si="7"/>
        <v>40</v>
      </c>
      <c r="F252" t="s">
        <v>11</v>
      </c>
      <c r="I252">
        <v>64951</v>
      </c>
      <c r="M252">
        <f t="shared" si="8"/>
        <v>1.2990200000000001E-3</v>
      </c>
      <c r="N252">
        <v>8688800</v>
      </c>
      <c r="O252">
        <v>55578624</v>
      </c>
      <c r="P252" s="1" t="s">
        <v>281</v>
      </c>
    </row>
  </sheetData>
  <autoFilter ref="A2:R252" xr:uid="{8AA4B3F6-D60B-4343-BDCE-7069F6EFAF37}"/>
  <hyperlinks>
    <hyperlink ref="P3" r:id="rId1" xr:uid="{687AD3E4-A18F-4A68-9C7A-B4A605B5F43E}"/>
    <hyperlink ref="P4" r:id="rId2" xr:uid="{20BECD15-0CD6-449D-83CD-93F2899A6459}"/>
    <hyperlink ref="P5" r:id="rId3" xr:uid="{E2763668-132E-4D8A-87D0-D21D165BA609}"/>
    <hyperlink ref="P6" r:id="rId4" xr:uid="{00D12CA1-D711-4887-AE9F-0AEB1EA1A52E}"/>
    <hyperlink ref="P7" r:id="rId5" xr:uid="{7532AC1B-2909-4D5B-BF88-FA003353946E}"/>
    <hyperlink ref="P8" r:id="rId6" xr:uid="{685AAF3A-4DC6-415B-8989-E24BF71A673D}"/>
    <hyperlink ref="P9" r:id="rId7" xr:uid="{543C46F0-390C-4181-9E96-8E2C65CDC4F7}"/>
    <hyperlink ref="P12" r:id="rId8" xr:uid="{5AA4A7D8-9FAA-49CF-B17B-569E4C78A2FC}"/>
    <hyperlink ref="P13" r:id="rId9" xr:uid="{F46D078C-A3D7-4262-946F-05DCB1B3EA53}"/>
    <hyperlink ref="P14" r:id="rId10" xr:uid="{BA196759-018A-42DF-93EB-04742C3FB4FE}"/>
    <hyperlink ref="P17" r:id="rId11" xr:uid="{5AB5B1C9-1A6A-4F77-A9E5-F7171EACCFDA}"/>
    <hyperlink ref="P18" r:id="rId12" xr:uid="{0E1BBBB4-9C7B-4CED-9A88-6822C1550F40}"/>
    <hyperlink ref="P19" r:id="rId13" xr:uid="{A3DE659D-1330-4E2E-8E1F-301901CF90B9}"/>
    <hyperlink ref="P22" r:id="rId14" xr:uid="{BD065891-E03A-4C3D-8C65-FC64968FE1A4}"/>
    <hyperlink ref="P23" r:id="rId15" xr:uid="{9BBC7940-897D-43EB-9654-6FCAC559644C}"/>
    <hyperlink ref="P24" r:id="rId16" xr:uid="{6BC03ADF-DB46-4768-BD6D-E4210AD07406}"/>
    <hyperlink ref="P27" r:id="rId17" xr:uid="{E7E13840-E6BB-4145-BC26-EFFD85D92BF4}"/>
    <hyperlink ref="P28" r:id="rId18" xr:uid="{56121B9F-3A73-4D4C-94D5-4F893E9F01A5}"/>
    <hyperlink ref="P29" r:id="rId19" xr:uid="{4545228A-C56C-4619-98AA-FD558FCEB35C}"/>
    <hyperlink ref="P32" r:id="rId20" xr:uid="{87E8A422-7063-4D34-B4AA-995E832D8D6C}"/>
    <hyperlink ref="P33" r:id="rId21" xr:uid="{5402E874-C94F-4EBC-9B6D-1820498C56EB}"/>
    <hyperlink ref="P34" r:id="rId22" xr:uid="{7EB94712-DA4F-4552-8ADF-40D6B3F4E184}"/>
    <hyperlink ref="P37" r:id="rId23" xr:uid="{10E9768E-F3C0-4FF3-ABF2-95E3875DF659}"/>
    <hyperlink ref="P38" r:id="rId24" xr:uid="{8BF19850-82F6-4E92-9550-45B9C34F8D61}"/>
    <hyperlink ref="P39" r:id="rId25" xr:uid="{CEF763D6-6AC8-463C-B8D7-AFCC98FAC71B}"/>
    <hyperlink ref="P42" r:id="rId26" xr:uid="{FBBE5BDF-8306-4FC5-9B22-87CE2FF69CF9}"/>
    <hyperlink ref="P43" r:id="rId27" xr:uid="{CF88A49A-EC98-46A9-8163-5AFEFE48FBF5}"/>
    <hyperlink ref="P44" r:id="rId28" xr:uid="{A415F9C3-BB30-48BC-A197-3BA8CF09942B}"/>
    <hyperlink ref="P47" r:id="rId29" xr:uid="{272A8FB2-008F-4694-A67C-2989467B2E42}"/>
    <hyperlink ref="P48" r:id="rId30" xr:uid="{423D3173-1C6E-49B0-8BF0-61CA228A2A40}"/>
    <hyperlink ref="P49" r:id="rId31" xr:uid="{127843B8-94D9-4EF6-ABBF-781C68DAFBFD}"/>
    <hyperlink ref="P52" r:id="rId32" xr:uid="{A9BB5D8F-E58F-4EA2-94AC-46BEB0E9595C}"/>
    <hyperlink ref="P53" r:id="rId33" xr:uid="{95D4A5FE-D1AA-4E44-81FC-681EFEC8268E}"/>
    <hyperlink ref="P54" r:id="rId34" xr:uid="{D7904E61-7F3F-4E85-AB8D-08A8643DA662}"/>
    <hyperlink ref="P57" r:id="rId35" xr:uid="{BB655555-A230-4956-873C-BD24B64A96BC}"/>
    <hyperlink ref="P58" r:id="rId36" xr:uid="{0ED6FD6E-7616-44AB-964A-2047EBC6C9F8}"/>
    <hyperlink ref="P59" r:id="rId37" xr:uid="{D1447259-E251-4236-847F-BE3AF97B1339}"/>
    <hyperlink ref="P62" r:id="rId38" xr:uid="{72E7B11E-39E7-4B28-BE2D-D1F0CA4FC582}"/>
    <hyperlink ref="P63" r:id="rId39" xr:uid="{B10446BA-D4BF-4346-AD12-427DB41E98FA}"/>
    <hyperlink ref="P64" r:id="rId40" xr:uid="{10C2B9E2-9D83-467A-A65E-68B8192D22CC}"/>
    <hyperlink ref="P67" r:id="rId41" xr:uid="{B0033E68-CC6B-476B-BB05-84483FFB6A8A}"/>
    <hyperlink ref="P68" r:id="rId42" xr:uid="{4A92B7E6-11DC-472F-8010-4F4E2EDFE145}"/>
    <hyperlink ref="P69" r:id="rId43" xr:uid="{6670F30A-1A58-419D-B326-4CC6DBF06132}"/>
    <hyperlink ref="P72" r:id="rId44" xr:uid="{7A4111B8-D338-4919-A8D1-972050AB26E7}"/>
    <hyperlink ref="P73" r:id="rId45" xr:uid="{E438E5A9-B3FE-4FDC-BE17-A8976EBD5FC7}"/>
    <hyperlink ref="P74" r:id="rId46" xr:uid="{D2C6014B-AA1F-4D37-8722-0348D12B60C9}"/>
    <hyperlink ref="P77" r:id="rId47" xr:uid="{D91F4C9C-AF06-4057-A55A-8FD34D34DB2B}"/>
    <hyperlink ref="P78" r:id="rId48" xr:uid="{81A3EB26-437D-4B8C-B3A7-067CDA56D96F}"/>
    <hyperlink ref="P79" r:id="rId49" xr:uid="{C2765EF4-82A6-4E74-B4BD-289EAE97B51C}"/>
    <hyperlink ref="P82" r:id="rId50" xr:uid="{81EC5DCB-DED9-419F-A494-32E15295D5E0}"/>
    <hyperlink ref="P83" r:id="rId51" xr:uid="{E05E92A0-1AE5-48B2-A5C8-8D5DB0F11C67}"/>
    <hyperlink ref="P84" r:id="rId52" xr:uid="{EE76051E-C9D0-4FDD-B22B-F6E92E41AB24}"/>
    <hyperlink ref="P87" r:id="rId53" xr:uid="{4944530B-48F6-47F7-B9B5-73105391A42A}"/>
    <hyperlink ref="P88" r:id="rId54" xr:uid="{A890F456-8A11-4E2D-83AA-B2E20FBD1CE9}"/>
    <hyperlink ref="P89" r:id="rId55" xr:uid="{B58C2ECB-DA11-4345-87AE-303337BA4067}"/>
    <hyperlink ref="P92" r:id="rId56" xr:uid="{62E95E30-0792-467C-B378-C9AF891A272D}"/>
    <hyperlink ref="P93" r:id="rId57" xr:uid="{7C85A4BF-9C5A-4EFC-AC43-7094E3179513}"/>
    <hyperlink ref="P94" r:id="rId58" xr:uid="{6856CC89-43AC-4CC4-91B9-346DD92B97B8}"/>
    <hyperlink ref="P97" r:id="rId59" xr:uid="{BC7B10C9-0ABE-4B0D-935D-DE0B8AD85EFE}"/>
    <hyperlink ref="P98" r:id="rId60" xr:uid="{C468857F-189A-4D5D-8638-1405F65322F1}"/>
    <hyperlink ref="P99" r:id="rId61" xr:uid="{15DEA6BA-ECFE-4F0F-B486-B5B1693CD34E}"/>
    <hyperlink ref="P102" r:id="rId62" xr:uid="{3DE07E02-6A41-4E80-876F-BA0096B47E5F}"/>
    <hyperlink ref="P103" r:id="rId63" xr:uid="{C8DEBCAB-0332-47D3-A5DC-3D71D7D1CAF1}"/>
    <hyperlink ref="P104" r:id="rId64" xr:uid="{A46B5952-7AED-4F2E-9CB3-9DACE8D3D040}"/>
    <hyperlink ref="P107" r:id="rId65" xr:uid="{6F3ED29F-72D4-4C8A-A82F-C2CCF28BC590}"/>
    <hyperlink ref="P108" r:id="rId66" xr:uid="{E5BC17CF-74F7-4BB0-84F5-C95EFDC811CD}"/>
    <hyperlink ref="P109" r:id="rId67" xr:uid="{14FFBFD5-EFE6-4B5D-BEBF-E977522CBF1E}"/>
    <hyperlink ref="P112" r:id="rId68" xr:uid="{79E96920-9C4C-4540-88B6-14D2B4D50557}"/>
    <hyperlink ref="P113" r:id="rId69" xr:uid="{D6E23F7D-F590-48F0-8612-E09AB6383E13}"/>
    <hyperlink ref="P114" r:id="rId70" xr:uid="{66E6FADF-8025-406A-8553-7CC0CF055D2B}"/>
    <hyperlink ref="P117" r:id="rId71" xr:uid="{49284A33-30D1-49A8-AD71-546FAF2688C3}"/>
    <hyperlink ref="P118" r:id="rId72" xr:uid="{142C21B0-3A2F-4808-9F60-146333105CEA}"/>
    <hyperlink ref="P119" r:id="rId73" xr:uid="{9FBB678A-8193-4F11-B458-BCBD14C22C85}"/>
    <hyperlink ref="P122" r:id="rId74" xr:uid="{E00F1F4F-EC47-48AC-A324-F9480D8A82BA}"/>
    <hyperlink ref="P123" r:id="rId75" xr:uid="{1714E478-8762-495B-B743-8EBC14465F7A}"/>
    <hyperlink ref="P124" r:id="rId76" xr:uid="{9D2E7834-A282-4533-857F-39E8D292079C}"/>
    <hyperlink ref="P127" r:id="rId77" xr:uid="{CC0A7A17-B9D4-4DC4-ABBE-A92F34278808}"/>
    <hyperlink ref="P128" r:id="rId78" xr:uid="{CB4100E6-246F-420E-8A42-6E3D4503EF89}"/>
    <hyperlink ref="P129" r:id="rId79" xr:uid="{467264D1-B3F1-41D2-BDBB-7B909CC11941}"/>
    <hyperlink ref="P132" r:id="rId80" xr:uid="{1DC725DA-DB6E-45E0-AC72-F79332E4C6F8}"/>
    <hyperlink ref="P133" r:id="rId81" xr:uid="{78C61D00-CD15-49BA-97E3-F8BC709D2544}"/>
    <hyperlink ref="P134" r:id="rId82" xr:uid="{FD079301-9E80-43A2-A439-E7DD262BBB13}"/>
    <hyperlink ref="P137" r:id="rId83" xr:uid="{04D07173-449E-4B5C-B5F0-0A17866F9240}"/>
    <hyperlink ref="P138" r:id="rId84" xr:uid="{5FFA6560-4069-405E-A634-497C6F5562A6}"/>
    <hyperlink ref="P139" r:id="rId85" xr:uid="{421FE1C9-00AF-43B6-B462-40E88B955CE0}"/>
    <hyperlink ref="P142" r:id="rId86" xr:uid="{D4DA3A55-C79B-4B36-85BB-F3EA4727C09A}"/>
    <hyperlink ref="P143" r:id="rId87" xr:uid="{117A3D98-3E6E-4B15-B49D-3B367B40B407}"/>
    <hyperlink ref="P144" r:id="rId88" xr:uid="{0705DF2F-BA99-4B58-BD71-6976CF592B1C}"/>
    <hyperlink ref="P147" r:id="rId89" xr:uid="{7758BD98-1B6B-45B9-9E41-ADD1198E74C4}"/>
    <hyperlink ref="P148" r:id="rId90" xr:uid="{E7907C85-B80B-440D-A4A2-BC80D95ED7BE}"/>
    <hyperlink ref="P149" r:id="rId91" xr:uid="{0E1CCEB4-1A26-4F1D-AB23-6E2E2D537070}"/>
    <hyperlink ref="P152" r:id="rId92" xr:uid="{A5B93A92-A25E-4810-90C0-9100690CD6BC}"/>
    <hyperlink ref="P153" r:id="rId93" xr:uid="{641B6B46-40E2-4146-9A26-4A2CFB6E7823}"/>
    <hyperlink ref="P154" r:id="rId94" xr:uid="{525E502B-40ED-4A43-97B3-B50CB869A32E}"/>
    <hyperlink ref="P157" r:id="rId95" xr:uid="{726A60A0-F998-486F-83D9-62E29E95CCC0}"/>
    <hyperlink ref="P158" r:id="rId96" xr:uid="{1E934E44-70C9-4531-AFD2-4FA00ABD800A}"/>
    <hyperlink ref="P159" r:id="rId97" xr:uid="{BFB5DA17-76B1-4864-8198-5C35DA28EBF5}"/>
    <hyperlink ref="P162" r:id="rId98" xr:uid="{DD54E58F-F57C-4E97-84CF-DD457AA40BBE}"/>
    <hyperlink ref="P163" r:id="rId99" xr:uid="{A9A854FB-0F42-4E32-8242-0893581B796F}"/>
    <hyperlink ref="P164" r:id="rId100" xr:uid="{CC4B22BE-C16F-4208-B765-E8B7DDAF3039}"/>
    <hyperlink ref="P167" r:id="rId101" xr:uid="{F5085698-6972-4E5B-AEC6-E4D56CBD43CC}"/>
    <hyperlink ref="P168" r:id="rId102" xr:uid="{0C3C0B81-80D7-40F1-85B0-B2B8ABB9BFE6}"/>
    <hyperlink ref="P169" r:id="rId103" xr:uid="{D94FDAE1-BDD4-4D07-B58A-93FC6221E333}"/>
    <hyperlink ref="P172" r:id="rId104" xr:uid="{117597E2-8C48-4E46-8F23-4359459CDEB6}"/>
    <hyperlink ref="P173" r:id="rId105" xr:uid="{9789BCCE-86F9-45AC-AE4F-626C66839467}"/>
    <hyperlink ref="P174" r:id="rId106" xr:uid="{C279F0BC-847D-4CC6-BFDC-216E0325502F}"/>
    <hyperlink ref="P177" r:id="rId107" xr:uid="{4E8161EC-5011-4D92-9E55-8484F23F0673}"/>
    <hyperlink ref="P178" r:id="rId108" xr:uid="{496999C3-3BDF-4B08-9C1F-A0BCDF64F31A}"/>
    <hyperlink ref="P179" r:id="rId109" xr:uid="{449F8B37-6BF5-44DE-B226-458FE2C3F4C3}"/>
    <hyperlink ref="P182" r:id="rId110" xr:uid="{CC608FF1-47F9-46D7-89D9-F1A715DFC99B}"/>
    <hyperlink ref="P183" r:id="rId111" xr:uid="{EE3D5742-CB85-4837-8904-F9CD15CF7116}"/>
    <hyperlink ref="P184" r:id="rId112" xr:uid="{135935B1-E138-4F72-A3E7-59475C94DEDB}"/>
    <hyperlink ref="P187" r:id="rId113" xr:uid="{12815275-D17C-4901-8F9B-4F6B5C146A41}"/>
    <hyperlink ref="P188" r:id="rId114" xr:uid="{1EF01313-CE08-400A-83D1-CE5F423A2552}"/>
    <hyperlink ref="P189" r:id="rId115" xr:uid="{78BF90FD-7975-43A3-A74F-B79209A2DB9B}"/>
    <hyperlink ref="P192" r:id="rId116" xr:uid="{9B03BDCB-86B0-4457-A2E3-25DBB36557DC}"/>
    <hyperlink ref="P193" r:id="rId117" xr:uid="{016E03FE-5365-4A7B-9464-8D7F90AC1897}"/>
    <hyperlink ref="P194" r:id="rId118" xr:uid="{BDAC20AA-3D25-41D7-8570-F046907892D6}"/>
    <hyperlink ref="P197" r:id="rId119" xr:uid="{2D09B0F8-DAD7-4019-8743-C2B36A38BD05}"/>
    <hyperlink ref="P199" r:id="rId120" xr:uid="{AA53E49C-D58E-48C7-BA8D-1BF48C5D21F1}"/>
    <hyperlink ref="P198" r:id="rId121" xr:uid="{A72FF8EB-4FAD-421B-A599-1F8DFE7C4A9C}"/>
    <hyperlink ref="P202" r:id="rId122" xr:uid="{A74842E2-0CF2-4C38-917E-007B410C8F1C}"/>
    <hyperlink ref="P203" r:id="rId123" xr:uid="{81400168-2CF1-47D7-BE30-CF6E76182190}"/>
    <hyperlink ref="P204" r:id="rId124" xr:uid="{B415CD2B-B484-40E5-9CF6-20D80CF228F4}"/>
    <hyperlink ref="P207" r:id="rId125" xr:uid="{99379FE2-F8CC-4CAE-9791-CBD96D54EA6F}"/>
    <hyperlink ref="P208" r:id="rId126" xr:uid="{6DD5DBBC-6C4B-4B0F-A1C9-BF6A26402805}"/>
    <hyperlink ref="P209" r:id="rId127" xr:uid="{1A307760-56D1-4338-B361-F9E630C243DF}"/>
    <hyperlink ref="P212" r:id="rId128" xr:uid="{FD48D2B3-2E83-4231-B444-97E9E582B7B8}"/>
    <hyperlink ref="P213" r:id="rId129" xr:uid="{31BB651B-3357-4FF1-AE12-C6CEC03C0830}"/>
    <hyperlink ref="P214" r:id="rId130" xr:uid="{F25BFF7A-63E7-4FF5-A9B5-5FC49CAF4D67}"/>
    <hyperlink ref="P217" r:id="rId131" xr:uid="{C3CEEBBE-3AAF-4852-AF68-A4B9EEDEABF2}"/>
    <hyperlink ref="P218" r:id="rId132" xr:uid="{D872638D-DA43-43D4-A002-E7135579E3DE}"/>
    <hyperlink ref="P219" r:id="rId133" xr:uid="{29118A8A-E51B-4424-9A33-95BD98612CD8}"/>
    <hyperlink ref="P222" r:id="rId134" xr:uid="{23850D78-B9B0-41D0-AC57-337F34B90DE2}"/>
    <hyperlink ref="P223" r:id="rId135" xr:uid="{850E365F-8096-473D-8077-ADA4ADF7269B}"/>
    <hyperlink ref="P224" r:id="rId136" xr:uid="{E848CE31-AAFC-42AC-A9A2-11F843C90A47}"/>
    <hyperlink ref="P227" r:id="rId137" xr:uid="{A0E6723B-0214-42C6-96D8-435271989C67}"/>
    <hyperlink ref="P228" r:id="rId138" xr:uid="{A07F7AF4-C462-4196-B825-2976D1FA9A60}"/>
    <hyperlink ref="P229" r:id="rId139" xr:uid="{22A1C555-00AA-4329-B0EA-BB49A9DACA78}"/>
    <hyperlink ref="P232" r:id="rId140" xr:uid="{39172BC8-ED8A-46E7-A627-EF157E3F1536}"/>
    <hyperlink ref="P233" r:id="rId141" xr:uid="{E5733263-7926-4E78-AFB8-33BFAADD9CE4}"/>
    <hyperlink ref="P234" r:id="rId142" xr:uid="{A22BAE9C-E534-4695-B00D-4C0AD11D9F8E}"/>
    <hyperlink ref="P237" r:id="rId143" xr:uid="{6A8DB06D-D7E9-4B8A-B37F-EA1852A3DDC4}"/>
    <hyperlink ref="P238" r:id="rId144" xr:uid="{5ACD50D8-CFCB-4935-967E-BCDADA252235}"/>
    <hyperlink ref="P239" r:id="rId145" xr:uid="{E384474D-95EC-4626-9C73-909F8997D0F3}"/>
    <hyperlink ref="P242" r:id="rId146" xr:uid="{B07542D4-60DD-4F5F-B4C5-E9E60EFAFE5E}"/>
    <hyperlink ref="P243" r:id="rId147" xr:uid="{D896D16B-5F9F-474B-8B4B-D0BF690577F6}"/>
    <hyperlink ref="P244" r:id="rId148" xr:uid="{68CDE6CF-8C2F-4BA8-AB14-53991FF3319D}"/>
    <hyperlink ref="P247" r:id="rId149" xr:uid="{6D4D8CC2-4BBF-493B-ABC5-C894679233A9}"/>
    <hyperlink ref="P248" r:id="rId150" xr:uid="{4B8FFE78-915F-4C47-9A7B-3FB5DF1180E4}"/>
    <hyperlink ref="P249" r:id="rId151" xr:uid="{7FF18D37-7C2F-4427-B70A-D99D1BECB1C3}"/>
    <hyperlink ref="P252" r:id="rId152" xr:uid="{0908ADB7-6FFA-4A26-B1EC-9C704925DC93}"/>
    <hyperlink ref="P10" r:id="rId153" xr:uid="{09630E4F-C927-4DBE-BEAB-30C6F989BC7A}"/>
    <hyperlink ref="P11" r:id="rId154" xr:uid="{B5B58A68-E64C-4946-BA97-7A395A348F7D}"/>
    <hyperlink ref="P15" r:id="rId155" xr:uid="{CC3C62A6-799A-4297-9A84-41DEEBFF63C1}"/>
    <hyperlink ref="P16" r:id="rId156" xr:uid="{BB02CAEE-326A-41A3-B60F-572C38B65B84}"/>
    <hyperlink ref="P20" r:id="rId157" xr:uid="{0FEFE71C-ED44-4D7E-A5AB-BA862F05EA1C}"/>
    <hyperlink ref="P21" r:id="rId158" xr:uid="{AB4ABE5D-6702-4780-A81A-C6CF0B8398C3}"/>
    <hyperlink ref="P25" r:id="rId159" xr:uid="{7EBA88F6-7E88-40DF-A81D-BBE59BD302C1}"/>
    <hyperlink ref="P26" r:id="rId160" xr:uid="{A3019918-B9B3-451A-B153-9CB178CDC568}"/>
    <hyperlink ref="P30" r:id="rId161" xr:uid="{F06949CB-0595-471B-ADC1-E5D2CA965617}"/>
    <hyperlink ref="P31" r:id="rId162" xr:uid="{0D89157B-F87A-476E-8B68-942504BA64B0}"/>
    <hyperlink ref="P35" r:id="rId163" xr:uid="{DD9CE6EE-7A49-4CCA-9047-CACB0EFE2332}"/>
    <hyperlink ref="P36" r:id="rId164" xr:uid="{44CA177C-CE9B-44D4-94D4-6FEAE64A730B}"/>
    <hyperlink ref="P40" r:id="rId165" xr:uid="{F80C8EA1-FEB9-484F-B2B7-720B62FF3702}"/>
    <hyperlink ref="P41" r:id="rId166" xr:uid="{562E0C70-1F00-4F3C-95FD-C210F1EF69B8}"/>
    <hyperlink ref="P45" r:id="rId167" xr:uid="{A5786E1D-8E85-4893-BAB9-F16FA59E1122}"/>
    <hyperlink ref="P46" r:id="rId168" xr:uid="{8B3CD641-F8AB-49DC-9883-8527A73D9748}"/>
    <hyperlink ref="P50" r:id="rId169" xr:uid="{5217F14C-5F92-4568-BC9E-A95F1D345521}"/>
    <hyperlink ref="P51" r:id="rId170" xr:uid="{BADDF40A-0A53-4820-8EDE-A13C6FCBCED3}"/>
    <hyperlink ref="P55" r:id="rId171" xr:uid="{D42D61E9-12F2-4322-A266-DD07D29924C2}"/>
    <hyperlink ref="P56" r:id="rId172" xr:uid="{C45F25AE-67B9-4689-8E3E-2FF9BBC18522}"/>
    <hyperlink ref="P60" r:id="rId173" xr:uid="{F36D2172-EE87-4157-962B-9DEAAD7AB5E0}"/>
    <hyperlink ref="P61" r:id="rId174" xr:uid="{5DB387CA-2B5D-42C4-88A7-1670B88A8715}"/>
    <hyperlink ref="P65" r:id="rId175" xr:uid="{F9EB51E2-626D-44E7-A447-00BA73AD1620}"/>
    <hyperlink ref="P66" r:id="rId176" xr:uid="{2E97BA96-F0BF-414E-ABA3-CDD53FF576B2}"/>
    <hyperlink ref="P70" r:id="rId177" xr:uid="{A7FC7E67-8E30-4F51-AE20-5A4E126010D4}"/>
    <hyperlink ref="P71" r:id="rId178" xr:uid="{798E92B1-B460-4B69-B8EE-ABB7E819EAE0}"/>
    <hyperlink ref="P75" r:id="rId179" xr:uid="{72EF34B7-4B3B-4610-AD5D-6BA1AF1FE11A}"/>
    <hyperlink ref="P76" r:id="rId180" xr:uid="{8382578C-F2D5-47BD-A294-75E9B344FC3B}"/>
    <hyperlink ref="P80" r:id="rId181" xr:uid="{91CF98FE-F06B-40B4-B1D9-4611546E447C}"/>
    <hyperlink ref="P81" r:id="rId182" xr:uid="{99C8E630-59F5-4523-A113-12530AC3D7F0}"/>
    <hyperlink ref="P85" r:id="rId183" xr:uid="{A7F5FFB5-0963-43A4-8D91-F884E1855882}"/>
    <hyperlink ref="P86" r:id="rId184" xr:uid="{A435AE76-9C38-4509-AF5A-E6E02C47265D}"/>
    <hyperlink ref="P90" r:id="rId185" xr:uid="{F3992BE7-64E6-4345-972F-21E6805813CB}"/>
    <hyperlink ref="P91" r:id="rId186" xr:uid="{CBF0601B-EF43-4712-B53A-A8A684A4231C}"/>
    <hyperlink ref="P95" r:id="rId187" xr:uid="{C6A3E3E7-2C73-4237-BC87-682286362EB1}"/>
    <hyperlink ref="P96" r:id="rId188" xr:uid="{50A6C983-16F1-4328-A8D1-6FCE4E0D5683}"/>
    <hyperlink ref="P100" r:id="rId189" xr:uid="{EA1732E9-14B3-4C3C-B0FA-024A890CBB5D}"/>
    <hyperlink ref="P101" r:id="rId190" xr:uid="{70D61B12-1943-4826-9497-929168E5D139}"/>
    <hyperlink ref="P105" r:id="rId191" xr:uid="{DDF11AF1-B146-4FAB-9F0C-0523B28A4F2C}"/>
    <hyperlink ref="P106" r:id="rId192" xr:uid="{29766E73-A39D-4C0F-ADAF-7696B63DB314}"/>
    <hyperlink ref="P110" r:id="rId193" xr:uid="{90EE2706-9A26-4672-B826-D1114E06B15A}"/>
    <hyperlink ref="P111" r:id="rId194" xr:uid="{1F0D6A7B-85A9-4485-8CB1-DC5AF19769D2}"/>
    <hyperlink ref="P115" r:id="rId195" xr:uid="{37BE44EC-3A4F-424F-A0B0-4005C1FB56D4}"/>
    <hyperlink ref="P116" r:id="rId196" xr:uid="{AF199E00-CF2B-47A2-804A-207236FAF753}"/>
    <hyperlink ref="P120" r:id="rId197" xr:uid="{BBD029B8-5F57-4740-8FC3-CFF644E86C9B}"/>
    <hyperlink ref="P121" r:id="rId198" xr:uid="{509DDEDB-975F-415B-8A1C-46093F1D3D4F}"/>
    <hyperlink ref="P125" r:id="rId199" xr:uid="{2088DE99-912F-4DF1-B98B-91E1A5E81055}"/>
    <hyperlink ref="P126" r:id="rId200" xr:uid="{2F2C3CA7-BF81-4EA8-AC53-CD21D4E90C00}"/>
    <hyperlink ref="P130" r:id="rId201" xr:uid="{9F6FC633-B8A3-42C8-B604-9E9CA3124974}"/>
    <hyperlink ref="P131" r:id="rId202" xr:uid="{72C979DA-BE30-4E58-ACEE-860B2EE3614F}"/>
    <hyperlink ref="P135" r:id="rId203" xr:uid="{80613D26-2999-43B3-B901-520D3A0DF1D2}"/>
    <hyperlink ref="P136" r:id="rId204" xr:uid="{6292AFE7-DF8F-4690-80B3-445AF51ACE89}"/>
    <hyperlink ref="P140" r:id="rId205" xr:uid="{EC8836BE-EF0D-4D54-8D0A-4F137A759608}"/>
    <hyperlink ref="P141" r:id="rId206" xr:uid="{D5D52F85-CEE6-4090-B7C5-11D7BF861A22}"/>
    <hyperlink ref="P145" r:id="rId207" xr:uid="{E94744CD-8995-4AC5-A1B7-6C84DF31F169}"/>
    <hyperlink ref="P146" r:id="rId208" xr:uid="{8459FA19-EFAC-47A5-904B-32EB87B4759D}"/>
    <hyperlink ref="P151" r:id="rId209" xr:uid="{9C9C315D-6B6B-415A-8CBC-5F2A6BC31317}"/>
    <hyperlink ref="P150" r:id="rId210" xr:uid="{04C171BE-6885-482A-B1DC-82F1616666E4}"/>
    <hyperlink ref="P160" r:id="rId211" xr:uid="{CCA82182-BDE9-430A-954B-027691102F93}"/>
    <hyperlink ref="P161" r:id="rId212" xr:uid="{F6B09FE5-A915-48ED-A2BE-874F24126834}"/>
    <hyperlink ref="P166" r:id="rId213" xr:uid="{1309DADB-DDAF-4329-94CD-22D7D73865FA}"/>
    <hyperlink ref="P165" r:id="rId214" xr:uid="{6107CA50-AC6B-42B0-B752-6402C985D0FF}"/>
    <hyperlink ref="P170" r:id="rId215" xr:uid="{08F98F4A-5574-4F80-8C6A-69B0CECC039F}"/>
    <hyperlink ref="P171" r:id="rId216" xr:uid="{1CB296CF-C850-4AF4-9DC1-8C1DEBC2E562}"/>
    <hyperlink ref="P175" r:id="rId217" xr:uid="{6DC46148-10FB-4B6F-A3FE-DF2147628C76}"/>
    <hyperlink ref="P176" r:id="rId218" xr:uid="{79F065B1-F983-4058-9599-8330D9B5CB90}"/>
    <hyperlink ref="P180" r:id="rId219" xr:uid="{BCD17884-8775-4F6F-8A97-6B9AE94BBD46}"/>
    <hyperlink ref="P181" r:id="rId220" xr:uid="{41014C11-7F99-4EE6-BFE9-ED82424469C9}"/>
    <hyperlink ref="P185" r:id="rId221" xr:uid="{6475C13D-28EE-413E-80B9-FD12623EFD8F}"/>
    <hyperlink ref="P186" r:id="rId222" xr:uid="{33C9328D-9957-43AB-A527-677FDC8D2D96}"/>
    <hyperlink ref="P190" r:id="rId223" xr:uid="{B5382D69-1154-499F-8E11-9F956D41049A}"/>
    <hyperlink ref="P191" r:id="rId224" xr:uid="{FF13689C-D833-4287-98C8-AD50FFAA1742}"/>
    <hyperlink ref="P195" r:id="rId225" xr:uid="{93042217-EDD2-4C64-BEA0-06DE8B7E6FCD}"/>
    <hyperlink ref="P196" r:id="rId226" xr:uid="{2C95BDFC-435E-45A7-9899-D80FA932F2DD}"/>
    <hyperlink ref="P200" r:id="rId227" xr:uid="{12D692BD-6457-4B34-9178-CD98EE1417D6}"/>
    <hyperlink ref="P201" r:id="rId228" xr:uid="{9860167D-4463-4740-94E1-E145903EFFC2}"/>
    <hyperlink ref="P205" r:id="rId229" xr:uid="{518AEE96-ED55-4637-8278-815A4D7CF901}"/>
    <hyperlink ref="P206" r:id="rId230" xr:uid="{3F8781C8-1BDA-4138-AB7A-364C3D250DA0}"/>
    <hyperlink ref="P210" r:id="rId231" xr:uid="{9600F6D4-D370-4C7D-9AE9-AE9D2F7C92C3}"/>
    <hyperlink ref="P211" r:id="rId232" xr:uid="{617744B9-CE80-4366-A92B-A1822DA46452}"/>
    <hyperlink ref="P215" r:id="rId233" xr:uid="{EEAF5C72-7F04-48D9-9013-2F96D387AFE2}"/>
    <hyperlink ref="P216" r:id="rId234" xr:uid="{D96B9A43-79D5-46E4-94FE-E59F863CCF36}"/>
    <hyperlink ref="P220" r:id="rId235" xr:uid="{C69A5704-E2A7-4704-8F6D-D6DA4836E20F}"/>
    <hyperlink ref="P221" r:id="rId236" xr:uid="{287E19A6-9280-4BBF-8053-02380FFC9D87}"/>
    <hyperlink ref="P225" r:id="rId237" xr:uid="{A8AE9C32-CC29-4FFB-A280-13817F1B8B89}"/>
    <hyperlink ref="P226" r:id="rId238" xr:uid="{656A111D-6122-4EE6-8D09-BFD9D53CAE2A}"/>
    <hyperlink ref="P230" r:id="rId239" xr:uid="{4159EA92-CC68-40D6-BBD8-7D6F3CB0E752}"/>
    <hyperlink ref="P231" r:id="rId240" xr:uid="{A92B7DBF-2B96-44F4-969B-F315E7DCB8C8}"/>
    <hyperlink ref="P235" r:id="rId241" xr:uid="{C4D9D768-8BCA-4A67-B44A-C2545BBA1CDE}"/>
    <hyperlink ref="P236" r:id="rId242" xr:uid="{462B8D0D-F5C8-4D61-96F4-B5CABA57378A}"/>
    <hyperlink ref="P240" r:id="rId243" xr:uid="{F7F7B28C-BAA4-4B56-B229-4F57825A5B70}"/>
    <hyperlink ref="P241" r:id="rId244" xr:uid="{CB0BB495-6B4F-45FD-8BE9-AD7037F7766C}"/>
    <hyperlink ref="P245" r:id="rId245" xr:uid="{25583670-00EC-4727-A19D-A7B4DC533F64}"/>
    <hyperlink ref="P246" r:id="rId246" xr:uid="{54782265-79A1-47C4-922E-61ABF0E5440F}"/>
    <hyperlink ref="P250" r:id="rId247" xr:uid="{B3247191-DF3C-402A-954B-0ABBB62B0740}"/>
    <hyperlink ref="P251" r:id="rId248" xr:uid="{229BB613-47E4-4FF7-858B-FFDCEBAAA9E7}"/>
  </hyperlinks>
  <pageMargins left="0.7" right="0.7" top="0.75" bottom="0.75" header="0.3" footer="0.3"/>
  <pageSetup paperSize="9" orientation="portrait" r:id="rId249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ropsten to rinkeby</vt:lpstr>
      <vt:lpstr>rinkeby to ropsten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Several Pens</dc:creator>
  <cp:lastModifiedBy>Babu Pillai</cp:lastModifiedBy>
  <dcterms:created xsi:type="dcterms:W3CDTF">2020-09-15T07:59:34Z</dcterms:created>
  <dcterms:modified xsi:type="dcterms:W3CDTF">2020-10-29T00:10:51Z</dcterms:modified>
</cp:coreProperties>
</file>